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me" sheetId="1" state="visible" r:id="rId3"/>
    <sheet name="Supuestos" sheetId="2" state="visible" r:id="rId4"/>
    <sheet name="Precios" sheetId="3" state="visible" r:id="rId5"/>
    <sheet name="BOM" sheetId="4" state="visible" r:id="rId6"/>
    <sheet name="Costos" sheetId="5" state="visible" r:id="rId7"/>
    <sheet name="Calculos" sheetId="6" state="visible" r:id="rId8"/>
    <sheet name="Restricciones" sheetId="7" state="visible" r:id="rId9"/>
    <sheet name="ERC" sheetId="8" state="visible" r:id="rId10"/>
    <sheet name="Desviacione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<sst xmlns="http://schemas.openxmlformats.org/spreadsheetml/2006/main" count="759" uniqueCount="579">
  <si>
    <t xml:space="preserve">PCB 2 (OBC + ADCS) - CubeSat UD34 - Práctica 4</t>
  </si>
  <si>
    <t xml:space="preserve">Hoja de cálculo de soporte: supuestos, BOM, costos, cálculos, matriz de restricciones, registro ERC y desviaciones.</t>
  </si>
  <si>
    <t xml:space="preserve">Integrantes: Juan Pablo González Blandón, Santiago Castaño Loaiza. Altium Designer 26.9.1. Fecha de consulta de precios y proveedor: 27/10/2026.</t>
  </si>
  <si>
    <t xml:space="preserve">Hojas</t>
  </si>
  <si>
    <t xml:space="preserve">Supuestos: tipo de cambio, tamaños de lote, constantes (celdas amarillas = editables).</t>
  </si>
  <si>
    <t xml:space="preserve">Precios: escalones de precio por componente (fuente, moneda, fecha). Fondo naranja = precio ESTIMADO sin cotización.</t>
  </si>
  <si>
    <t xml:space="preserve">BOM: lista de materiales del esquemático entregado (as-built).</t>
  </si>
  <si>
    <t xml:space="preserve">Costos: costo por lote 10/100/1000 con fórmulas, y costo por tarjeta + gráfica.</t>
  </si>
  <si>
    <t xml:space="preserve">Calculos: cristal HSE, pull-ups I2C, ancho de pista (IPC-2221), consumo.</t>
  </si>
  <si>
    <t xml:space="preserve">Restricciones: matriz de restricciones de PCB y de fabricación (ID, restricción, fuente, verificación, estado).</t>
  </si>
  <si>
    <t xml:space="preserve">ERC: registro de la validación automática y manual, con excepciones aceptadas.</t>
  </si>
  <si>
    <t xml:space="preserve">Desviaciones: diferencias entre la especificación/informe previo y el esquemático as-built.</t>
  </si>
  <si>
    <t xml:space="preserve">Convenciones</t>
  </si>
  <si>
    <t xml:space="preserve">Amarillo = dato de entrada editable. Naranja = valor estimado/pendiente de cotización. Verde = encabezado.</t>
  </si>
  <si>
    <t xml:space="preserve">Los precios con escalones usan el escalón de cantidad correspondiente a la cantidad de piezas del lote (cantidad por tarjeta x tarjetas), no al número de tarjetas.</t>
  </si>
  <si>
    <t xml:space="preserve">Si la cantidad supera el último escalón publicado, se aplica el último precio publicado (conservador). Los escalones no usados se rellenan con cantidades ficticias &gt;= 1.000.000 y el último precio.</t>
  </si>
  <si>
    <t xml:space="preserve">No incluye fabricación de la PCB, ensamblaje, transporte ni impuestos.</t>
  </si>
  <si>
    <t xml:space="preserve">Parámetro</t>
  </si>
  <si>
    <t xml:space="preserve">Valor</t>
  </si>
  <si>
    <t xml:space="preserve">Unidad</t>
  </si>
  <si>
    <t xml:space="preserve">Fuente / nota</t>
  </si>
  <si>
    <t xml:space="preserve">Tarjetas en lote 1</t>
  </si>
  <si>
    <t xml:space="preserve">uds</t>
  </si>
  <si>
    <t xml:space="preserve">Guía Práctica 4, paso 11</t>
  </si>
  <si>
    <t xml:space="preserve">Tarjetas en lote 2</t>
  </si>
  <si>
    <t xml:space="preserve">Tarjetas en lote 3</t>
  </si>
  <si>
    <t xml:space="preserve">Tipo de cambio SGD -&gt; USD</t>
  </si>
  <si>
    <t xml:space="preserve">USD/SGD</t>
  </si>
  <si>
    <t xml:space="preserve">SUPUESTO del equipo (aprox.). Actualizar con la tasa del día de compra.</t>
  </si>
  <si>
    <t xml:space="preserve">Tipo de cambio EUR -&gt; USD</t>
  </si>
  <si>
    <t xml:space="preserve">USD/EUR</t>
  </si>
  <si>
    <t xml:space="preserve">Fecha de consulta de precios</t>
  </si>
  <si>
    <t xml:space="preserve">27/10/2026</t>
  </si>
  <si>
    <t xml:space="preserve">Precios de referencia; cambian a diario</t>
  </si>
  <si>
    <t xml:space="preserve">Clave</t>
  </si>
  <si>
    <t xml:space="preserve">Componente (MPN)</t>
  </si>
  <si>
    <t xml:space="preserve">Moneda origen</t>
  </si>
  <si>
    <t xml:space="preserve">Factor a USD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</si>
  <si>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</si>
  <si>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</si>
  <si>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</si>
  <si>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</si>
  <si>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</si>
  <si>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</si>
  <si>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</si>
  <si>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</si>
  <si>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</si>
  <si>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</si>
  <si>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</si>
  <si>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</si>
  <si>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</si>
  <si>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P7</t>
  </si>
  <si>
    <t xml:space="preserve">Estado</t>
  </si>
  <si>
    <t xml:space="preserve">Fuente (fecha 27/10/2026)</t>
  </si>
  <si>
    <t xml:space="preserve">STM32</t>
  </si>
  <si>
    <t xml:space="preserve">STM32H753IIT6</t>
  </si>
  <si>
    <t xml:space="preserve">USD</t>
  </si>
  <si>
    <t xml:space="preserve">Cotizado</t>
  </si>
  <si>
    <t xml:space="preserve">LCSC C146558 (https://www.lcsc.com/product-image/C146558.html). Referencia; DigiKey/TME muestran 0 o poco stock.</t>
  </si>
  <si>
    <t xml:space="preserve">EMMC</t>
  </si>
  <si>
    <t xml:space="preserve">EMMC04G-M627-A01 (Kingston)</t>
  </si>
  <si>
    <t xml:space="preserve">Cotizado (sin stock)</t>
  </si>
  <si>
    <t xml:space="preserve">LCSC C577446 (https://www.lcsc.com/product-image/C577446.html). Aparece sin stock: disponibilidad PENDIENTE.</t>
  </si>
  <si>
    <t xml:space="preserve">SDRAM</t>
  </si>
  <si>
    <t xml:space="preserve">MT48LC4M16A2P-6A (Micron)</t>
  </si>
  <si>
    <t xml:space="preserve">EUR</t>
  </si>
  <si>
    <t xml:space="preserve">ESTIMADO</t>
  </si>
  <si>
    <t xml:space="preserve">DigiKey ES MT48LC4M16A2P-6A IT:J TR, 4,52 EUR sin IVA, un solo escalón visible (https://www.digikey.com/en/products/detail/micron-technology-inc/MT48LC4M16A2P-6A-IT-J-TR/4315481). Estado 'Last Time Buy' (fecha 30/06/2026 ya vencida): disponibilidad PENDIENTE; se aplica el mismo precio a los 3 lotes.</t>
  </si>
  <si>
    <t xml:space="preserve">ISO</t>
  </si>
  <si>
    <t xml:space="preserve">ISO7741DWR (TI)</t>
  </si>
  <si>
    <t xml:space="preserve">LCSC C571196 (https://www.lcsc.com/product-image/C571196.html). Otros distribuidores muestran precios mayores (p.ej. 2,57 EUR en DigiKey DE sin stock).</t>
  </si>
  <si>
    <t xml:space="preserve">DRV</t>
  </si>
  <si>
    <t xml:space="preserve">DRV8833PWPR (TI)</t>
  </si>
  <si>
    <t xml:space="preserve">LCSC C50506 (https://www.lcsc.com/product-image/C50506.html). DigiKey/Mouser muestran 1,68-2,34 USD.</t>
  </si>
  <si>
    <t xml:space="preserve">XTAL</t>
  </si>
  <si>
    <t xml:space="preserve">ABM3B-25.000MHZ-B4U-T (Abracon)</t>
  </si>
  <si>
    <t xml:space="preserve">ESTIMADO (variante)</t>
  </si>
  <si>
    <t xml:space="preserve">Sin cotización de la referencia exacta. Se usa como proxy la variante ABM3B-25.000MHZ-B2-T en LCSC C596875 (https://www.lcsc.com/product-image/C596875.html).</t>
  </si>
  <si>
    <t xml:space="preserve">C100N</t>
  </si>
  <si>
    <t xml:space="preserve">GRM155R71C104KA88D (Murata) 0,1 uF 0402</t>
  </si>
  <si>
    <t xml:space="preserve">DigiKey 490-3261-1-ND vía OEMsTrade (https://www.oemstrade.com/search/grm155r71c104ka88d%200402-104k%20pb-free).</t>
  </si>
  <si>
    <t xml:space="preserve">R10K</t>
  </si>
  <si>
    <t xml:space="preserve">ERJ3EKF1002V (Panasonic) 10 kOhm 0603</t>
  </si>
  <si>
    <t xml:space="preserve">DigiKey P10.0KHCT-ND (https://www.digikey.com/en/products/detail/panasonic-electronic-components/ERJ-3EKF1002V/196066). Solo se ven 3 escalones; se mantiene el último.</t>
  </si>
  <si>
    <t xml:space="preserve">R_GEN</t>
  </si>
  <si>
    <t xml:space="preserve">Resistencias 33 ohm / 4,7 kohm 0603 1 %</t>
  </si>
  <si>
    <t xml:space="preserve">ESTIMADO (proxy)</t>
  </si>
  <si>
    <t xml:space="preserve">Sin cotización de la referencia exacta; se usa el precio de la serie ERJ3EKF (ERJ3EKF1002V).</t>
  </si>
  <si>
    <t xml:space="preserve">C_PF</t>
  </si>
  <si>
    <t xml:space="preserve">Condensador 16 pF C0G 0402</t>
  </si>
  <si>
    <t xml:space="preserve">Sin cotización. Estimación del equipo; reemplazar al definir la referencia exacta.</t>
  </si>
  <si>
    <t xml:space="preserve">C_2U2</t>
  </si>
  <si>
    <t xml:space="preserve">Condensador 2,2 uF (VCAP)</t>
  </si>
  <si>
    <t xml:space="preserve">C_10U</t>
  </si>
  <si>
    <t xml:space="preserve">Condensador 10 uF</t>
  </si>
  <si>
    <t xml:space="preserve">J_SWD</t>
  </si>
  <si>
    <t xml:space="preserve">Molex 53259-0429 (4 pines, 3,5 mm)</t>
  </si>
  <si>
    <t xml:space="preserve">SGD</t>
  </si>
  <si>
    <t xml:space="preserve">Cotizado (RS, SGD)</t>
  </si>
  <si>
    <t xml:space="preserve">RS 602-1299, paquete de 10 (https://sg.rs-online.com/web/p/pcb-headers/6021299). Escalones 10-40, 50-240, 250-740, 750-2240, 2250+.</t>
  </si>
  <si>
    <t xml:space="preserve">HDR_PIN</t>
  </si>
  <si>
    <t xml:space="preserve">Cabecera genérica, precio por pin</t>
  </si>
  <si>
    <t xml:space="preserve">Los conectores J_EPS, J_COIL_X/Y, J_PAYLOAD, J_CAMERA y J_TELEM son símbolos genéricos sin referencia comercial; se estima por pin.</t>
  </si>
  <si>
    <t xml:space="preserve">Línea</t>
  </si>
  <si>
    <t xml:space="preserve">Designadores</t>
  </si>
  <si>
    <t xml:space="preserve">Descripción</t>
  </si>
  <si>
    <t xml:space="preserve">Cant./tarjeta</t>
  </si>
  <si>
    <t xml:space="preserve">Fabricante</t>
  </si>
  <si>
    <t xml:space="preserve">Referencia exacta (MPN)</t>
  </si>
  <si>
    <t xml:space="preserve">Encapsulado / huella</t>
  </si>
  <si>
    <t xml:space="preserve">Hoja esquemática</t>
  </si>
  <si>
    <t xml:space="preserve">Estado de montaje</t>
  </si>
  <si>
    <t xml:space="preserve">Clave de precio</t>
  </si>
  <si>
    <t xml:space="preserve">Pines (solo cabeceras)</t>
  </si>
  <si>
    <t xml:space="preserve">Observaciones</t>
  </si>
  <si>
    <t xml:space="preserve">U1</t>
  </si>
  <si>
    <t xml:space="preserve">Microcontrolador ARM Cortex-M7 480 MHz, 2 MB Flash</t>
  </si>
  <si>
    <t xml:space="preserve">STMicroelectronics</t>
  </si>
  <si>
    <t xml:space="preserve">LQFP-176 (24x24)</t>
  </si>
  <si>
    <t xml:space="preserve">U_OBC_Core</t>
  </si>
  <si>
    <t xml:space="preserve">Montado</t>
  </si>
  <si>
    <t xml:space="preserve">Símbolo en 3 partes (U1A/U1B/U1C).</t>
  </si>
  <si>
    <t xml:space="preserve">*1</t>
  </si>
  <si>
    <t xml:space="preserve">eMMC 4 GB</t>
  </si>
  <si>
    <t xml:space="preserve">Kingston</t>
  </si>
  <si>
    <t xml:space="preserve">EMMC04G-M627-A01</t>
  </si>
  <si>
    <t xml:space="preserve">FBGA-153</t>
  </si>
  <si>
    <t xml:space="preserve">U_Mass_Storage</t>
  </si>
  <si>
    <t xml:space="preserve">Designador *1 tras anotar. VCC y VCCQ a 3V3_DIGITAL (el informe previo decía VCCQ 1,8 V).</t>
  </si>
  <si>
    <t xml:space="preserve">U2</t>
  </si>
  <si>
    <t xml:space="preserve">SDRAM 64 Mbit (4M x 16), 3,3 V</t>
  </si>
  <si>
    <t xml:space="preserve">Micron</t>
  </si>
  <si>
    <t xml:space="preserve">MT48LC4M16A2P-6A</t>
  </si>
  <si>
    <t xml:space="preserve">TSOP-II 54</t>
  </si>
  <si>
    <t xml:space="preserve">Estado Last Time Buy en DigiKey (30/06/2026).</t>
  </si>
  <si>
    <t xml:space="preserve">U3</t>
  </si>
  <si>
    <t xml:space="preserve">Aislador digital 4 canales (3 + 1), 5 kVrms</t>
  </si>
  <si>
    <t xml:space="preserve">Texas Instruments</t>
  </si>
  <si>
    <t xml:space="preserve">ISO7741DWR</t>
  </si>
  <si>
    <t xml:space="preserve">SOIC-16 DW</t>
  </si>
  <si>
    <t xml:space="preserve">U_ADCS_Isolated</t>
  </si>
  <si>
    <t xml:space="preserve">Solo 3 canales en el mismo sentido: PWM_B2 queda sin conexión.</t>
  </si>
  <si>
    <t xml:space="preserve">U4</t>
  </si>
  <si>
    <t xml:space="preserve">Puente H doble 2,7-10,8 V</t>
  </si>
  <si>
    <t xml:space="preserve">DRV8833PWPR</t>
  </si>
  <si>
    <t xml:space="preserve">HTSSOP-16 (PowerPAD)</t>
  </si>
  <si>
    <t xml:space="preserve">Y1</t>
  </si>
  <si>
    <t xml:space="preserve">Cristal 25 MHz (HSE)</t>
  </si>
  <si>
    <t xml:space="preserve">Abracon</t>
  </si>
  <si>
    <t xml:space="preserve">ABM3B-25.000MHZ-B4U-T</t>
  </si>
  <si>
    <t xml:space="preserve">SMD 5,0 x 3,2 mm, 4 pines</t>
  </si>
  <si>
    <t xml:space="preserve">Capacitancia de carga a verificar con la hoja de datos (ver Calculos).</t>
  </si>
  <si>
    <t xml:space="preserve">C1, C6</t>
  </si>
  <si>
    <t xml:space="preserve">Condensador cerámico 0,1 uF X7R 16 V</t>
  </si>
  <si>
    <t xml:space="preserve">Murata</t>
  </si>
  <si>
    <t xml:space="preserve">GRM155R71C104KA88D</t>
  </si>
  <si>
    <t xml:space="preserve">0402</t>
  </si>
  <si>
    <t xml:space="preserve">U_OBC_Core (C1), U_Interfaces_Connectors (C6)</t>
  </si>
  <si>
    <t xml:space="preserve">C1 en SYS_RESET; C6 en J_EPS.</t>
  </si>
  <si>
    <t xml:space="preserve">R1</t>
  </si>
  <si>
    <t xml:space="preserve">Resistencia 10 kOhm 1 % 0603</t>
  </si>
  <si>
    <t xml:space="preserve">Panasonic</t>
  </si>
  <si>
    <t xml:space="preserve">ERJ3EKF1002V</t>
  </si>
  <si>
    <t xml:space="preserve">0603</t>
  </si>
  <si>
    <t xml:space="preserve">Pull-down de BOOT0.</t>
  </si>
  <si>
    <t xml:space="preserve">R6, R7</t>
  </si>
  <si>
    <t xml:space="preserve">Resistencia 4,7 kOhm 0603</t>
  </si>
  <si>
    <t xml:space="preserve">Panasonic (a definir)</t>
  </si>
  <si>
    <t xml:space="preserve">Serie ERJ3EKF (valor 4,7 kOhm, MPN por confirmar)</t>
  </si>
  <si>
    <t xml:space="preserve">Pull-ups I2C.</t>
  </si>
  <si>
    <t xml:space="preserve">R2, R3, R4, R5</t>
  </si>
  <si>
    <t xml:space="preserve">Resistencia serie 33 ohm 0603</t>
  </si>
  <si>
    <t xml:space="preserve">Serie ERJ3EKF (valor 33 ohm, MPN por confirmar)</t>
  </si>
  <si>
    <t xml:space="preserve">Terminación serie SPI (NSS, SCK, MISO, MOSI).</t>
  </si>
  <si>
    <t xml:space="preserve">C2, C5</t>
  </si>
  <si>
    <t xml:space="preserve">Condensador 16 pF C0G (carga del cristal)</t>
  </si>
  <si>
    <t xml:space="preserve">A definir</t>
  </si>
  <si>
    <t xml:space="preserve">Por confirmar</t>
  </si>
  <si>
    <t xml:space="preserve">0402 (a verificar)</t>
  </si>
  <si>
    <t xml:space="preserve">Valor a revisar frente a la capacitancia de carga del cristal.</t>
  </si>
  <si>
    <t xml:space="preserve">C3, C4</t>
  </si>
  <si>
    <t xml:space="preserve">Condensador 2,2 uF (VCAP del STM32)</t>
  </si>
  <si>
    <t xml:space="preserve">0603 (a verificar)</t>
  </si>
  <si>
    <t xml:space="preserve">Condensadores VCAP1/VCAP2.</t>
  </si>
  <si>
    <t xml:space="preserve">C7</t>
  </si>
  <si>
    <t xml:space="preserve">Condensador 10 uF (filtrado J_EPS)</t>
  </si>
  <si>
    <t xml:space="preserve">0805 (a verificar)</t>
  </si>
  <si>
    <t xml:space="preserve">U_Interfaces_Connectors</t>
  </si>
  <si>
    <t xml:space="preserve">J1</t>
  </si>
  <si>
    <t xml:space="preserve">Cabecera 4 pines 3,5 mm SWD</t>
  </si>
  <si>
    <t xml:space="preserve">Molex</t>
  </si>
  <si>
    <t xml:space="preserve">53259-0429</t>
  </si>
  <si>
    <t xml:space="preserve">THT acodada 3,5 mm</t>
  </si>
  <si>
    <t xml:space="preserve">Conector de depuración SWD (3V3, SWCLK, SWDIO, DGND).</t>
  </si>
  <si>
    <t xml:space="preserve">J2 (J_EPS)</t>
  </si>
  <si>
    <t xml:space="preserve">Cabecera 3 pines (potencia EPS)</t>
  </si>
  <si>
    <t xml:space="preserve">Genérico</t>
  </si>
  <si>
    <t xml:space="preserve">Sin referencia comercial</t>
  </si>
  <si>
    <t xml:space="preserve">Cabecera 3 pines</t>
  </si>
  <si>
    <t xml:space="preserve">Solo MAIN_BUS_POWER, 3V3_DIGITAL y DGND.</t>
  </si>
  <si>
    <t xml:space="preserve">J3 (J_COIL_X)</t>
  </si>
  <si>
    <t xml:space="preserve">Cabecera 2 pines (bobina X)</t>
  </si>
  <si>
    <t xml:space="preserve">Cabecera 2 pines</t>
  </si>
  <si>
    <t xml:space="preserve">J4 (J_COIL_Y)</t>
  </si>
  <si>
    <t xml:space="preserve">Cabecera 2 pines (bobina Y)</t>
  </si>
  <si>
    <t xml:space="preserve">P1 (J_PAYLOAD)</t>
  </si>
  <si>
    <t xml:space="preserve">Cabecera 5 pines (SPI + DGND)</t>
  </si>
  <si>
    <t xml:space="preserve">Cabecera 5 pines</t>
  </si>
  <si>
    <t xml:space="preserve">P2 (J_CAMERA)</t>
  </si>
  <si>
    <t xml:space="preserve">Cabecera 16 pines (DCMI + I2C + 3V3 + DGND)</t>
  </si>
  <si>
    <t xml:space="preserve">Cabecera 16 pines</t>
  </si>
  <si>
    <t xml:space="preserve">P3 (J_TELEM)</t>
  </si>
  <si>
    <t xml:space="preserve">Cabecera 4 pines (I2C + 3V3 + DGND)</t>
  </si>
  <si>
    <t xml:space="preserve">Cabecera 4 pines</t>
  </si>
  <si>
    <t xml:space="preserve">Componentes opcionales o no montados: ninguno. Configuración usada para el costo: todos los componentes de esta lista montados.</t>
  </si>
  <si>
    <t xml:space="preserve">Total de componentes por tarjeta (unidades):</t>
  </si>
  <si>
    <t xml:space="preserve">Línea BOM</t>
  </si>
  <si>
    <t xml:space="preserve">Cant./tarjeta (piezas)</t>
  </si>
  <si>
    <t xml:space="preserve">Piezas lote 1</t>
  </si>
  <si>
    <t xml:space="preserve">Piezas lote 2</t>
  </si>
  <si>
    <t xml:space="preserve">Piezas lote 3</t>
  </si>
  <si>
    <t xml:space="preserve">Precio unit. USD lote 1</t>
  </si>
  <si>
    <t xml:space="preserve">Precio unit. USD lote 2</t>
  </si>
  <si>
    <t xml:space="preserve">Precio unit. USD lote 3</t>
  </si>
  <si>
    <t xml:space="preserve">Costo USD lote 1</t>
  </si>
  <si>
    <t xml:space="preserve">Costo USD lote 2</t>
  </si>
  <si>
    <t xml:space="preserve">Costo USD lote 3</t>
  </si>
  <si>
    <t xml:space="preserve">Estado del precio</t>
  </si>
  <si>
    <t xml:space="preserve">TOTAL lote (USD)</t>
  </si>
  <si>
    <t xml:space="preserve">Costo por tarjeta (USD)</t>
  </si>
  <si>
    <t xml:space="preserve">Parte del costo por tarjeta con precio ESTIMADO (%)</t>
  </si>
  <si>
    <t xml:space="preserve">Tamaño del lote</t>
  </si>
  <si>
    <t xml:space="preserve">Costo de componentes del lote (USD)</t>
  </si>
  <si>
    <t xml:space="preserve">Escalón de 10 piezas en los ICs; poco descuento.</t>
  </si>
  <si>
    <t xml:space="preserve">Se alcanzan escalones de 100+ piezas en los ICs principales.</t>
  </si>
  <si>
    <t xml:space="preserve">Se aplica el último escalón publicado cuando la cantidad lo supera (conservador).</t>
  </si>
  <si>
    <t xml:space="preserve">Sobrantes: se compra exactamente la cantidad de piezas requeridas (múltiplo de empaque = 1, venta por unidad/cinta cortada). Si el proveedor exige bandeja o carrete completo (p.ej. eMMC bandeja de 152), el costo y los sobrantes cambian.</t>
  </si>
  <si>
    <t xml:space="preserve">Cálculo / parámetro</t>
  </si>
  <si>
    <t xml:space="preserve">Fuente o nota</t>
  </si>
  <si>
    <t xml:space="preserve">1. Cristal HSE (red de carga)</t>
  </si>
  <si>
    <t xml:space="preserve">CL del cristal ABM3B-25.000MHZ-B4U-T</t>
  </si>
  <si>
    <t xml:space="preserve">pF</t>
  </si>
  <si>
    <t xml:space="preserve">Valor reportado por un distribuidor (ibselectronics.cn). VERIFICAR con la hoja de datos de Abracon. El informe previo usaba 8 pF, que no corresponde a esta referencia.</t>
  </si>
  <si>
    <t xml:space="preserve">C parásita estimada (pista + pines)</t>
  </si>
  <si>
    <t xml:space="preserve">SUPUESTO típico 2-5 pF</t>
  </si>
  <si>
    <t xml:space="preserve">C externa requerida por condensador = 2(CL - Cstray)</t>
  </si>
  <si>
    <t xml:space="preserve">Fórmula CL = C1*C2/(C1+C2) + Cstray con C1 = C2</t>
  </si>
  <si>
    <t xml:space="preserve">C externa instalada (C2, C5 en el esquemático)</t>
  </si>
  <si>
    <t xml:space="preserve">Esquemático as-built</t>
  </si>
  <si>
    <t xml:space="preserve">CL efectiva con C instalada = Cext/2 + Cstray</t>
  </si>
  <si>
    <t xml:space="preserve">Con 16 pF resulta menor que el CL del cristal</t>
  </si>
  <si>
    <t xml:space="preserve">Desviación de CL (efectiva - requerida)</t>
  </si>
  <si>
    <t xml:space="preserve">Negativa: la frecuencia de oscilación queda ligeramente por encima de la nominal. DESVIACIÓN DOCUMENTADA (ver hoja Desviaciones); corregir a ~30 pF o cambiar el cristal en la siguiente revisión.</t>
  </si>
  <si>
    <t xml:space="preserve">2. Pull-ups I2C</t>
  </si>
  <si>
    <t xml:space="preserve">Vcc</t>
  </si>
  <si>
    <t xml:space="preserve">V</t>
  </si>
  <si>
    <t xml:space="preserve">3V3_DIGITAL</t>
  </si>
  <si>
    <t xml:space="preserve">VOL</t>
  </si>
  <si>
    <t xml:space="preserve">Especificación I2C</t>
  </si>
  <si>
    <t xml:space="preserve">IOL</t>
  </si>
  <si>
    <t xml:space="preserve">A</t>
  </si>
  <si>
    <t xml:space="preserve">Especificación I2C modo estándar/rápido</t>
  </si>
  <si>
    <t xml:space="preserve">tr máximo</t>
  </si>
  <si>
    <t xml:space="preserve">s</t>
  </si>
  <si>
    <t xml:space="preserve">Modo rápido (300 ns)</t>
  </si>
  <si>
    <t xml:space="preserve">Cb (capacitancia del bus)</t>
  </si>
  <si>
    <t xml:space="preserve">F</t>
  </si>
  <si>
    <t xml:space="preserve">SUPUESTO del equipo</t>
  </si>
  <si>
    <t xml:space="preserve">Rp mínimo = (Vcc - VOL)/IOL</t>
  </si>
  <si>
    <t xml:space="preserve">ohm</t>
  </si>
  <si>
    <t xml:space="preserve">Rp máximo = tr/(0,8473 Cb)</t>
  </si>
  <si>
    <t xml:space="preserve">Rp adoptado (R6, R7)</t>
  </si>
  <si>
    <t xml:space="preserve">Dentro del intervalo [Rp mín, Rp máx]</t>
  </si>
  <si>
    <t xml:space="preserve">Verificación</t>
  </si>
  <si>
    <t xml:space="preserve">3. Ancho de pista por corriente (IPC-2221, capa externa)</t>
  </si>
  <si>
    <t xml:space="preserve">Corriente de diseño por bobina</t>
  </si>
  <si>
    <t xml:space="preserve">SUPUESTO. El informe previo estimaba 1,0-1,5 A por eje. La corriente real depende de la resistencia de la bobina y de VM.</t>
  </si>
  <si>
    <t xml:space="preserve">Aumento de temperatura admisible</t>
  </si>
  <si>
    <t xml:space="preserve">°C</t>
  </si>
  <si>
    <t xml:space="preserve">SUPUESTO</t>
  </si>
  <si>
    <t xml:space="preserve">Espesor de cobre</t>
  </si>
  <si>
    <t xml:space="preserve">oz</t>
  </si>
  <si>
    <t xml:space="preserve">SUPUESTO preliminar (1 oz = 1,378 mil); falta definir con el apilamiento</t>
  </si>
  <si>
    <t xml:space="preserve">k (capa externa)</t>
  </si>
  <si>
    <t xml:space="preserve">IPC-2221</t>
  </si>
  <si>
    <t xml:space="preserve">Área de sección = (I/(k·ΔT^0,44))^(1/0,725)</t>
  </si>
  <si>
    <t xml:space="preserve">mil²</t>
  </si>
  <si>
    <t xml:space="preserve">Ancho mínimo</t>
  </si>
  <si>
    <t xml:space="preserve">mil</t>
  </si>
  <si>
    <t xml:space="preserve">Ancho mínimo en mm</t>
  </si>
  <si>
    <t xml:space="preserve">mm</t>
  </si>
  <si>
    <t xml:space="preserve">Registrar con margen (p.ej. x1,5-2); la caída de tensión y la temperatura final pueden exigir mayor ancho</t>
  </si>
  <si>
    <t xml:space="preserve">Ancho con corriente 1,5 A (para comparar)</t>
  </si>
  <si>
    <t xml:space="preserve">4. Consumo de la tarjeta (valores heredados del informe)</t>
  </si>
  <si>
    <t xml:space="preserve">Corriente digital nominal a 3,3 V</t>
  </si>
  <si>
    <t xml:space="preserve">Valor del informe previo (estimado; sin verificar con hojas de datos)</t>
  </si>
  <si>
    <t xml:space="preserve">Corriente digital pico a 3,3 V</t>
  </si>
  <si>
    <t xml:space="preserve">Potencia digital nominal</t>
  </si>
  <si>
    <t xml:space="preserve">W</t>
  </si>
  <si>
    <t xml:space="preserve">P = V·I</t>
  </si>
  <si>
    <t xml:space="preserve">Potencia digital pico</t>
  </si>
  <si>
    <t xml:space="preserve">NOTA</t>
  </si>
  <si>
    <t xml:space="preserve">El consumo de las bobinas no se calcula porque no se definió su resistencia; queda pendiente. La corriente real del DRV8833 depende de VM, de la bobina y de la limitación del driver.</t>
  </si>
  <si>
    <t xml:space="preserve">ID</t>
  </si>
  <si>
    <t xml:space="preserve">Origen (requisito/ET/interfaz)</t>
  </si>
  <si>
    <t xml:space="preserve">Restricción y alcance (condición, valor, unidad, redes/componentes)</t>
  </si>
  <si>
    <t xml:space="preserve">Tipo</t>
  </si>
  <si>
    <t xml:space="preserve">Fuente y fundamento</t>
  </si>
  <si>
    <t xml:space="preserve">Aplicación (dónde se registra)</t>
  </si>
  <si>
    <t xml:space="preserve">PCB-01</t>
  </si>
  <si>
    <t xml:space="preserve">ET alimentación / MAIN_BUS_POWER</t>
  </si>
  <si>
    <t xml:space="preserve">Pista de MAIN_BUS_POWER (J_EPS pin 1) y VM del DRV8833: ancho mínimo según Calculos B28 (≈0,30 mm para 1 A y ≈0,53 mm para 1,5 A, ΔT 10 °C, 1 oz externa); usar &gt;= 1 mm como objetivo de diseño por margen y caída de tensión. Evitar cuellos de botella en vías: mínimo 2 vías 0,3/0,6 mm por transición.</t>
  </si>
  <si>
    <t xml:space="preserve">Inferencia + recomendación</t>
  </si>
  <si>
    <t xml:space="preserve">IPC-2221 (cálculo en hoja Calculos); corriente supuesta 1 A (informe previo 1-1,5 A).</t>
  </si>
  <si>
    <t xml:space="preserve">Regla de ancho en PCB (Design Rule width) por clase de red POWER</t>
  </si>
  <si>
    <t xml:space="preserve">Revisión DRC + cálculo; verificar caída de tensión con longitud real</t>
  </si>
  <si>
    <t xml:space="preserve">Pendiente de layout</t>
  </si>
  <si>
    <t xml:space="preserve">PCB-02</t>
  </si>
  <si>
    <t xml:space="preserve">Dominio ADCS aislado</t>
  </si>
  <si>
    <t xml:space="preserve">Dominios DGND y PGND separados galvánicamente. Distancia mínima (creepage/clearance) entre copper de DGND y de PGND en la zona del ISO7741: &gt;= 8 mm de pad a pad en el aislador DW (SOIC-16 ancho) y sin cobre ni planos bajo el aislador en la barrera.</t>
  </si>
  <si>
    <t xml:space="preserve">Exigida por componente + recomendación</t>
  </si>
  <si>
    <t xml:space="preserve">ISO7741DWR: aislamiento 5000 Vrms (DigiKey/TI). Distancia exacta: hoja de datos TI, sección Package/Insulation Specifications (por confirmar valor numérico).</t>
  </si>
  <si>
    <t xml:space="preserve">Regla de clearance entre clases DGND/PGND; nota en esquemático</t>
  </si>
  <si>
    <t xml:space="preserve">Medición en layout (DRC + inspección)</t>
  </si>
  <si>
    <t xml:space="preserve">PCB-03</t>
  </si>
  <si>
    <t xml:space="preserve">El plano/retorno de PGND no debe cruzar ni solaparse con DGND. Un único punto de conexión no existe (aislamiento total); los retornos de las bobinas vuelven a PGND por el lado del DRV8833.</t>
  </si>
  <si>
    <t xml:space="preserve">Recomendación</t>
  </si>
  <si>
    <t xml:space="preserve">Práctica estándar de aislamiento galvánico; cambio documentado en el informe, Sección 2.3.</t>
  </si>
  <si>
    <t xml:space="preserve">Clases de red / polígonos separados</t>
  </si>
  <si>
    <t xml:space="preserve">Inspección de planos</t>
  </si>
  <si>
    <t xml:space="preserve">PCB-04</t>
  </si>
  <si>
    <t xml:space="preserve">DRV8833 / J_COIL_X, J_COIL_Y</t>
  </si>
  <si>
    <t xml:space="preserve">Pad térmico (PowerPAD) de U4 conectado a PGND con matriz de vías térmicas (mín. 5 vías 0,3 mm de taladro) a plano de PGND. Zona de cobre ampliada alrededor del pad.</t>
  </si>
  <si>
    <t xml:space="preserve">Recomendación del fabricante</t>
  </si>
  <si>
    <t xml:space="preserve">Hoja de datos DRV8833, sección Layout (PowerPAD) - confirmar número de vías recomendado.</t>
  </si>
  <si>
    <t xml:space="preserve">Nota de ubicación en esquemático (textual)</t>
  </si>
  <si>
    <t xml:space="preserve">Inspección + simulación térmica opcional</t>
  </si>
  <si>
    <t xml:space="preserve">PCB-05</t>
  </si>
  <si>
    <t xml:space="preserve">STM32H753 / alimentación</t>
  </si>
  <si>
    <t xml:space="preserve">Un condensador de desacoplamiento de 100 nF por cada par VDD/VSS, a &lt;= 3 mm del pin, con vía directa al plano. El esquemático actual NO incluye estos condensadores (ver Desviaciones D-08); deben añadirse o compensarse con condensadores en la zona de layout.</t>
  </si>
  <si>
    <t xml:space="preserve">Exigida por hoja de datos</t>
  </si>
  <si>
    <t xml:space="preserve">AN4938 / datasheet STM32H753 (sección Power supply scheme). Cantidad exacta por confirmar.</t>
  </si>
  <si>
    <t xml:space="preserve">Nota en esquemático; regla de ubicación en layout</t>
  </si>
  <si>
    <t xml:space="preserve">Revisión manual del layout</t>
  </si>
  <si>
    <t xml:space="preserve">Desviación abierta</t>
  </si>
  <si>
    <t xml:space="preserve">PCB-06</t>
  </si>
  <si>
    <t xml:space="preserve">STM32H753 / VCAP</t>
  </si>
  <si>
    <t xml:space="preserve">Condensadores VCAP (C3, C4 de 2,2 uF) lo más cerca posible de los pines VCAP (81, 125), ESR &lt; 100 mohm (cerámico X7R/X5R).</t>
  </si>
  <si>
    <t xml:space="preserve">Datasheet STM32H753, sección Power supply scheme (VCAP). Confirmar valor y ESR.</t>
  </si>
  <si>
    <t xml:space="preserve">Nota de ubicación</t>
  </si>
  <si>
    <t xml:space="preserve">Inspección de layout</t>
  </si>
  <si>
    <t xml:space="preserve">PCB-07</t>
  </si>
  <si>
    <t xml:space="preserve">Reloj HSE</t>
  </si>
  <si>
    <t xml:space="preserve">Cristal Y1 y condensadores C2, C5 juntos, a &lt;= 5 mm de PH0/PH1; sin pistas de otras señales ni vías bajo el cristal; guarda de GND (DGND) alrededor.</t>
  </si>
  <si>
    <t xml:space="preserve">AN2867 (Oscillator design guide for STM8/STM32) - confirmar aplicabilidad al H7.</t>
  </si>
  <si>
    <t xml:space="preserve">Inspección</t>
  </si>
  <si>
    <t xml:space="preserve">PCB-08</t>
  </si>
  <si>
    <t xml:space="preserve">Capacitancia de carga CL = 18 pF (a verificar): requiere Cext ≈ 30 pF por lado con Cstray = 3 pF; instalado 16 pF. Desviación abierta.</t>
  </si>
  <si>
    <t xml:space="preserve">Hoja de datos ABM3B-25.000MHZ-B4U-T (por confirmar) + Calculos B3-B9.</t>
  </si>
  <si>
    <t xml:space="preserve">Esquemático (valores de C2, C5)</t>
  </si>
  <si>
    <t xml:space="preserve">Cálculo en hoja Calculos</t>
  </si>
  <si>
    <t xml:space="preserve">PCB-09</t>
  </si>
  <si>
    <t xml:space="preserve">IF-04 PAYLOAD_SPI</t>
  </si>
  <si>
    <t xml:space="preserve">SPI hacia el payload: resistencias serie de 33 ohm (R2-R5) ubicadas cerca del origen (STM32). Longitud de pista &lt; 100 mm si es posible; sin cruces de planos.</t>
  </si>
  <si>
    <t xml:space="preserve">Práctica de integridad de señal; impedancia no controlada en esta etapa.</t>
  </si>
  <si>
    <t xml:space="preserve">Nota + clase de red SPI</t>
  </si>
  <si>
    <t xml:space="preserve">PCB-10</t>
  </si>
  <si>
    <t xml:space="preserve">IF-05 TELEMETRY_I2C</t>
  </si>
  <si>
    <t xml:space="preserve">Pull-ups de 4,7 kohm (R6, R7) a 3V3_DIGITAL dentro del intervalo [967 ohm; 7,08 kohm].</t>
  </si>
  <si>
    <t xml:space="preserve">Cálculo</t>
  </si>
  <si>
    <t xml:space="preserve">Hoja Calculos B16-B19 (especificación I2C).</t>
  </si>
  <si>
    <t xml:space="preserve">Valores en esquemático</t>
  </si>
  <si>
    <t xml:space="preserve">Cumple</t>
  </si>
  <si>
    <t xml:space="preserve">PCB-11</t>
  </si>
  <si>
    <t xml:space="preserve">IF-01 CAMERA_DCMI</t>
  </si>
  <si>
    <t xml:space="preserve">Bus DCMI (D0-D7, PCLK, HSYNC, VSYNC): grupo de longitud con diferencia máxima entre D0-D7 y PCLK a definir en la guía de enrutamiento (objetivo preliminar &lt;= 5 mm); referencia continua de plano.</t>
  </si>
  <si>
    <t xml:space="preserve">Inferencia (objetivo)</t>
  </si>
  <si>
    <t xml:space="preserve">Requisito ET-01 &gt;= 40 MB/s (informe). Valor numérico por derivar de la hoja de datos de la cámara (no disponible en este paquete).</t>
  </si>
  <si>
    <t xml:space="preserve">Parameter Set / clase de red DCMI (por crear)</t>
  </si>
  <si>
    <t xml:space="preserve">Medición de longitudes en layout</t>
  </si>
  <si>
    <t xml:space="preserve">Pendiente (valor por definir)</t>
  </si>
  <si>
    <t xml:space="preserve">PCB-12</t>
  </si>
  <si>
    <t xml:space="preserve">FMC_BUS (SDRAM)</t>
  </si>
  <si>
    <t xml:space="preserve">Bus FMC SDRAM: línea de reloj FMC_SDCLK emparejada en longitud con el grupo de datos/control (objetivo &lt;= 10 mm de diferencia); cobertura por plano de referencia; la SDRAM junto al STM32.</t>
  </si>
  <si>
    <t xml:space="preserve">Práctica común para SDRAM síncrona (timing del MT48LC4M16A2P-6A, hoja de datos: sección AC Timing). Valores numéricos por confirmar.</t>
  </si>
  <si>
    <t xml:space="preserve">Parameter Set / clase FMC (por crear)</t>
  </si>
  <si>
    <t xml:space="preserve">Medición de longitudes</t>
  </si>
  <si>
    <t xml:space="preserve">PCB-13</t>
  </si>
  <si>
    <t xml:space="preserve">SDIO_BUS (eMMC)</t>
  </si>
  <si>
    <t xml:space="preserve">Bus SDIO: CLK separado de D0-D7 y CMD; diferencia de longitud entre líneas &lt;= 5 mm (objetivo); eMMC en BGA FBGA-153: abanico con vías de 0,15-0,2 mm (HDI o POFV según proveedor).</t>
  </si>
  <si>
    <t xml:space="preserve">Inferencia + límite de fabricación</t>
  </si>
  <si>
    <t xml:space="preserve">Datasheet Kingston EMMC04G-M627-A01 (por confirmar) y guía BGA de JLCPCB (https://jlcpcb.com/help/article/243-BGA-Design-Guidelines---PCB-Layout-Recommendations-for-BGA-packages).</t>
  </si>
  <si>
    <t xml:space="preserve">Clase de red SDIO</t>
  </si>
  <si>
    <t xml:space="preserve">Inspección DRC</t>
  </si>
  <si>
    <t xml:space="preserve">PCB-14</t>
  </si>
  <si>
    <t xml:space="preserve">SWD (J1)</t>
  </si>
  <si>
    <t xml:space="preserve">SWDIO y SWCLK cortos (&lt; 50 mm) hacia el conector J1; NRST disponible en test point.</t>
  </si>
  <si>
    <t xml:space="preserve">Práctica; el informe prevé puntos de prueba NRST, VCAP, 3.3V_Iso y PWM.</t>
  </si>
  <si>
    <t xml:space="preserve">Test points (por añadir; ver Desviaciones D-10)</t>
  </si>
  <si>
    <t xml:space="preserve">PCB-15</t>
  </si>
  <si>
    <t xml:space="preserve">Térmico</t>
  </si>
  <si>
    <t xml:space="preserve">Disipación del DRV8833 y de las pistas de bobinas: cobre de superficie ampliado y, si se justifica, capa interna de potencia; ΔT admisible 10 °C como objetivo.</t>
  </si>
  <si>
    <t xml:space="preserve">Hoja de datos DRV8833; IPC-2221.</t>
  </si>
  <si>
    <t xml:space="preserve">Nota</t>
  </si>
  <si>
    <t xml:space="preserve">Simulación opcional</t>
  </si>
  <si>
    <t xml:space="preserve">Pendiente</t>
  </si>
  <si>
    <t xml:space="preserve">PCB-16</t>
  </si>
  <si>
    <t xml:space="preserve">Conectores</t>
  </si>
  <si>
    <t xml:space="preserve">J1 (53259-0429) y cabeceras de cables en el borde de la tarjeta; huella de THT con agujeros de taladro según datasheet Molex; pitch 3,5 mm (J1).</t>
  </si>
  <si>
    <t xml:space="preserve">Exigida por huella</t>
  </si>
  <si>
    <t xml:space="preserve">Datasheet Molex 53259-0429 (patrón recomendado).</t>
  </si>
  <si>
    <t xml:space="preserve">Huella en UD34_Footprints.PcbLib</t>
  </si>
  <si>
    <t xml:space="preserve">Comparación de huella vs hoja de datos</t>
  </si>
  <si>
    <t xml:space="preserve">Pendiente de verificación</t>
  </si>
  <si>
    <t xml:space="preserve">FAB-01</t>
  </si>
  <si>
    <t xml:space="preserve">Proveedor</t>
  </si>
  <si>
    <t xml:space="preserve">Proveedor elegido: JLCPCB (fabricación de PCB rígida estándar). Capacidades consultadas el 27/10/2026 en https://jlcpcb.com/capabilities/pcb-capabilities y https://api.jlcpcb.com/capabilities/Capabilities. Los valores pueden cambiar; reconsultar antes del pedido.</t>
  </si>
  <si>
    <t xml:space="preserve">Fuente externa</t>
  </si>
  <si>
    <t xml:space="preserve">JLCPCB, páginas de capacidades (fecha de consulta 27/10/2026).</t>
  </si>
  <si>
    <t xml:space="preserve">Documentado aquí</t>
  </si>
  <si>
    <t xml:space="preserve">Reconsulta al pedir</t>
  </si>
  <si>
    <t xml:space="preserve">Documentado</t>
  </si>
  <si>
    <t xml:space="preserve">FAB-02</t>
  </si>
  <si>
    <t xml:space="preserve">Apilamiento</t>
  </si>
  <si>
    <t xml:space="preserve">Número de capas preliminar: 4 capas (señal / GND / alimentación / señal), FR-4, 1,6 mm, cobre exterior 1 oz (0,035 mm). Justificación: BGA FBGA-153, 176 pines LQFP, bus FMC de 38 señales y dominios aislados. Cálculo de impedancias y apilamiento definitivos quedan para la guía de enrutamiento.</t>
  </si>
  <si>
    <t xml:space="preserve">Inferencia</t>
  </si>
  <si>
    <t xml:space="preserve">JLCPCB: soporta 1-32 capas, impedancia controlada de 4 capas en adelante, con apilamientos por defecto.</t>
  </si>
  <si>
    <t xml:space="preserve">Nota; regla de capas en layout</t>
  </si>
  <si>
    <t xml:space="preserve">Revisar apilamiento en guía de enrutamiento</t>
  </si>
  <si>
    <t xml:space="preserve">Pendiente (valor preliminar)</t>
  </si>
  <si>
    <t xml:space="preserve">FAB-03</t>
  </si>
  <si>
    <t xml:space="preserve">Pistas y separación</t>
  </si>
  <si>
    <t xml:space="preserve">Ancho y separación mínimos en capa exterior a usar en diseño: &gt;= 0,127 mm (5 mil) / 0,127 mm (5 mil) para 1-2 capas; objetivo de diseño &gt;= 0,15 mm / 0,15 mm para tener margen. En multicapa JLCPCB indica 3,5 mil como límite; no se usa por margen.</t>
  </si>
  <si>
    <t xml:space="preserve">Límite de fabricante</t>
  </si>
  <si>
    <t xml:space="preserve">JLCPCB capabilities (resumen verificado vía secundaria: Trace width/spacing 5 mil 1-2L; 3,5 mil multicapa). Reconsultar el valor exacto de 4 capas en la página oficial.</t>
  </si>
  <si>
    <t xml:space="preserve">Regla de diseño (Width/Clearance) en layout</t>
  </si>
  <si>
    <t xml:space="preserve">DRC</t>
  </si>
  <si>
    <t xml:space="preserve">FAB-04</t>
  </si>
  <si>
    <t xml:space="preserve">Vías y taladros</t>
  </si>
  <si>
    <t xml:space="preserve">Vía estándar: taladro 0,3 mm / diámetro 0,5 mm (2 capas) o taladro 0,2 mm / diámetro 0,45 mm (multicapa); vías de abanico de BGA con taladro 0,15 mm / diámetro 0,25 mm (según la guía BGA y 'Via-in-pad' con relleno, POFV gratuito en 6-20 capas). Taladro mínimo 0,2 mm; máximo 6,3 mm.</t>
  </si>
  <si>
    <t xml:space="preserve">JLCPCB capabilities (https://api.jlcpcb.com/capabilities/Capabilities) y guía BGA (https://jlcpcb.com/help/article/243-BGA-Design-Guidelines---PCB-Layout-Recommendations-for-BGA-packages).</t>
  </si>
  <si>
    <t xml:space="preserve">Reglas de vía en layout</t>
  </si>
  <si>
    <t xml:space="preserve">FAB-05</t>
  </si>
  <si>
    <t xml:space="preserve">Anillo anular / máscara</t>
  </si>
  <si>
    <t xml:space="preserve">Anillo anular mínimo de pad &gt;= 0,15 mm sobre el taladro (valor registrado por fuente secundaria). Puente de máscara de soldadura mínimo según proveedor; verificar para el paso de 0,5 mm del LQFP-176 y del FBGA-153.</t>
  </si>
  <si>
    <t xml:space="preserve">JLCPCB (valores a confirmar en la página oficial); la separación mínima entre pines de IC es 0,4 mm (0,35 mm extremo).</t>
  </si>
  <si>
    <t xml:space="preserve">Reglas de máscara en layout</t>
  </si>
  <si>
    <t xml:space="preserve">Pendiente (confirmar)</t>
  </si>
  <si>
    <t xml:space="preserve">FAB-06</t>
  </si>
  <si>
    <t xml:space="preserve">Borde de tarjeta</t>
  </si>
  <si>
    <t xml:space="preserve">Distancia de pista a borde &gt;= 0,2 mm (fresado) como límite del fabricante; objetivo de diseño &gt;= 0,3 mm. Tamaño de lote en prototipo: tarjeta individual 70x70 mm mínimo / 400x500 mm máximo en el servicio estándar.</t>
  </si>
  <si>
    <t xml:space="preserve">JLCPCB capabilities (Trace to Outline 0,2 mm; Single PCB Size).</t>
  </si>
  <si>
    <t xml:space="preserve">Regla de borde + contorno</t>
  </si>
  <si>
    <t xml:space="preserve">FAB-07</t>
  </si>
  <si>
    <t xml:space="preserve">Tamaño de la placa</t>
  </si>
  <si>
    <t xml:space="preserve">Tamaño de la PCB debe respetar el formato 1U del CubeSat (~ 90 x 96 mm de la placa PC/104). Si es menor de 70 x 70 mm, verificar los mínimos del servicio estándar de JLCPCB.</t>
  </si>
  <si>
    <t xml:space="preserve">Estándar CubeSat 1U / PC/104 (por confirmar en la arquitectura de la práctica 3).</t>
  </si>
  <si>
    <t xml:space="preserve">Contorno de placa</t>
  </si>
  <si>
    <t xml:space="preserve">Revisión mecánica</t>
  </si>
  <si>
    <t xml:space="preserve">FAB-08</t>
  </si>
  <si>
    <t xml:space="preserve">Servicios especiales</t>
  </si>
  <si>
    <t xml:space="preserve">Posible necesidad de servicio especial: vía rellena (POFV/via-in-pad) y/o HDI para el FBGA-153 a paso 0,5 mm; impedancia controlada si se exige. Identificado para consultar a JLCPCB.</t>
  </si>
  <si>
    <t xml:space="preserve">Guía BGA de JLCPCB.</t>
  </si>
  <si>
    <t xml:space="preserve">Consulta con el proveedor</t>
  </si>
  <si>
    <t xml:space="preserve">Tipos de fuente: 'Exigida' = condición impuesta por una hoja de datos o fabricante; 'Recomendación' = práctica adoptada por el equipo; 'Inferencia' = deducción propia del equipo. Los valores marcados 'por confirmar' no se pudieron contrastar con la hoja de datos en esta entrega.</t>
  </si>
  <si>
    <t xml:space="preserve">Fecha/hora</t>
  </si>
  <si>
    <t xml:space="preserve">Hoja</t>
  </si>
  <si>
    <t xml:space="preserve">Mensaje(s)</t>
  </si>
  <si>
    <t xml:space="preserve">Causa</t>
  </si>
  <si>
    <t xml:space="preserve">Acción / resolución</t>
  </si>
  <si>
    <t xml:space="preserve">27/10/2026 06:03</t>
  </si>
  <si>
    <t xml:space="preserve">Top_Level.SchDoc</t>
  </si>
  <si>
    <t xml:space="preserve">[Fatal Error] Missing Harness Type on Signal Harness</t>
  </si>
  <si>
    <t xml:space="preserve">Había un tramo de cable de harness suelto fuera del diagrama y Sheet Entries sin Harness Type (TELEMETRY_I2C, PAYLOAD_SPI).</t>
  </si>
  <si>
    <t xml:space="preserve">Se asignó el Harness Type correcto a los Sheet Entries y se eliminó el cable suelto.</t>
  </si>
  <si>
    <t xml:space="preserve">Resuelto</t>
  </si>
  <si>
    <t xml:space="preserve">U_Interfaces_Connectors / U_OBC_Core</t>
  </si>
  <si>
    <t xml:space="preserve">Duplicate Component Designators C5, J1; Duplicate Net Names NetC5_1</t>
  </si>
  <si>
    <t xml:space="preserve">Designadores repetidos entre hojas y eMMC sin anotar ('*').</t>
  </si>
  <si>
    <t xml:space="preserve">Tools &gt; Annotation &gt; Reset All y Annotate Schematics (Across Then Down).</t>
  </si>
  <si>
    <t xml:space="preserve">27/10/2026 06:20</t>
  </si>
  <si>
    <t xml:space="preserve">Duplicate Net Names Wire FMC_SDNE0</t>
  </si>
  <si>
    <t xml:space="preserve">Dos objetos con el mismo nombre en Top_Level.</t>
  </si>
  <si>
    <t xml:space="preserve">Corregido en el esquemático.</t>
  </si>
  <si>
    <t xml:space="preserve">Resuelto (verificado a las 06:22: ya no aparece)</t>
  </si>
  <si>
    <t xml:space="preserve">27/10/2026 06:22</t>
  </si>
  <si>
    <t xml:space="preserve">U_Mass_Storage.SchDoc</t>
  </si>
  <si>
    <t xml:space="preserve">Net CLK/CMD has only one pin; Net FMC_* contains floating input pins / has only one pin (decenas de mensajes)</t>
  </si>
  <si>
    <t xml:space="preserve">Las señales FMC, SDIO (y DCMI) llegan hasta U_OBC_Core pero los net labels no están conectados a pines del STM32H753.</t>
  </si>
  <si>
    <t xml:space="preserve">NO corregido en esta versión. Se acepta como EXCEPCIÓN DOCUMENTADA: la asignación de pines FMC/SDIO/DCMI se hará en CubeMX y se conectará en la siguiente revisión (Desviación D-01). No se desactivó el ERC globalmente.</t>
  </si>
  <si>
    <t xml:space="preserve">Excepción aceptada (abierta)</t>
  </si>
  <si>
    <t xml:space="preserve">Revisión manual</t>
  </si>
  <si>
    <t xml:space="preserve">Pendiente: revisión cruzada entre ambos integrantes</t>
  </si>
  <si>
    <t xml:space="preserve">Debe hacerse y documentarse antes de entregar.</t>
  </si>
  <si>
    <t xml:space="preserve">Completar fecha, revisor y observaciones.</t>
  </si>
  <si>
    <t xml:space="preserve">PENDIENTE</t>
  </si>
  <si>
    <t xml:space="preserve">Tema</t>
  </si>
  <si>
    <t xml:space="preserve">Especificación / informe previo</t>
  </si>
  <si>
    <t xml:space="preserve">Impacto</t>
  </si>
  <si>
    <t xml:space="preserve">Acción propuesta (siguiente revisión)</t>
  </si>
  <si>
    <t xml:space="preserve">D-01</t>
  </si>
  <si>
    <t xml:space="preserve">FMC / SDIO / DCMI</t>
  </si>
  <si>
    <t xml:space="preserve">STM32 conectado a SDRAM, eMMC y cámara</t>
  </si>
  <si>
    <t xml:space="preserve">Net labels sin conexión a pines del STM32H753</t>
  </si>
  <si>
    <t xml:space="preserve">SDRAM, eMMC y cámara sin enlace con el MCU: no funcionan</t>
  </si>
  <si>
    <t xml:space="preserve">Asignar pines en STM32CubeMX (SDMMC 4 u 8 bits, FMC SDRAM, DCMI 8 bits) y conectar</t>
  </si>
  <si>
    <t xml:space="preserve">Abierta</t>
  </si>
  <si>
    <t xml:space="preserve">D-02</t>
  </si>
  <si>
    <t xml:space="preserve">Aislador ISO7741</t>
  </si>
  <si>
    <t xml:space="preserve">Aislar las 4 señales PWM (A1, A2, B1, B2)</t>
  </si>
  <si>
    <t xml:space="preserve">ISO7741 tiene 3 canales en una dirección: PWM_B2 no llega al DRV8833 y BIN2 (pin 10) queda sin conexión</t>
  </si>
  <si>
    <t xml:space="preserve">Un puente del DRV8833 queda con una entrada flotante; control de la bobina Y incompleto</t>
  </si>
  <si>
    <t xml:space="preserve">Cambiar a ISO7740 (4 canales en el mismo sentido) o reasignar canales</t>
  </si>
  <si>
    <t xml:space="preserve">D-03</t>
  </si>
  <si>
    <t xml:space="preserve">Alimentación del puente H</t>
  </si>
  <si>
    <t xml:space="preserve">VBATT 7,4-8,4 V directo al DRV8833; DCP010505BP solo para el lado aislado lógico</t>
  </si>
  <si>
    <t xml:space="preserve">VM del DRV8833 y VCC2 del ISO7741 conectados a la etiqueta 5V_ISO; no hay fuente que genere 5V_ISO (DCP010505BP no está en el esquemático); J_EPS (3 pines) no lleva VBATT</t>
  </si>
  <si>
    <t xml:space="preserve">El lado aislado no tiene alimentación definida</t>
  </si>
  <si>
    <t xml:space="preserve">Añadir DCP010505BP (o fuente equivalente), llevar VBATT al conector y a VM</t>
  </si>
  <si>
    <t xml:space="preserve">D-04</t>
  </si>
  <si>
    <t xml:space="preserve">IMU</t>
  </si>
  <si>
    <t xml:space="preserve">TDK ICM-20948 en la tabla de componentes</t>
  </si>
  <si>
    <t xml:space="preserve">No existe en ninguna hoja</t>
  </si>
  <si>
    <t xml:space="preserve">Sin sensado de actitud en esta tarjeta</t>
  </si>
  <si>
    <t xml:space="preserve">Añadir IMU (I2C/SPI) y asignar pines</t>
  </si>
  <si>
    <t xml:space="preserve">D-05</t>
  </si>
  <si>
    <t xml:space="preserve">Ejes de actuación</t>
  </si>
  <si>
    <t xml:space="preserve">Tres ejes de magnetorquers</t>
  </si>
  <si>
    <t xml:space="preserve">Solo COIL_X y COIL_Y (un DRV8833 = 2 puentes H)</t>
  </si>
  <si>
    <t xml:space="preserve">Falta eje Z</t>
  </si>
  <si>
    <t xml:space="preserve">Añadir segundo DRV8833 y canales de aislamiento, o declarar 2 ejes como simplificación del alcance</t>
  </si>
  <si>
    <t xml:space="preserve">Abierta (se declara 2 ejes)</t>
  </si>
  <si>
    <t xml:space="preserve">D-06</t>
  </si>
  <si>
    <t xml:space="preserve">Cristal HSE</t>
  </si>
  <si>
    <t xml:space="preserve">Informe: CL = 8 pF, C = 12 pF</t>
  </si>
  <si>
    <t xml:space="preserve">C2 = C5 = 16 pF; cristal ABM3B-25.000MHZ-B4U-T cuya CL reportada es 18 pF</t>
  </si>
  <si>
    <t xml:space="preserve">Posible error de frecuencia/arranque del oscilador</t>
  </si>
  <si>
    <t xml:space="preserve">Verificar CL en hoja de datos y recalcular (Cext ≈ 30 pF con Cstray = 3 pF)</t>
  </si>
  <si>
    <t xml:space="preserve">D-07</t>
  </si>
  <si>
    <t xml:space="preserve">Informe previo: ISSI IS42S16400J-7TL</t>
  </si>
  <si>
    <t xml:space="preserve">Micron MT48LC4M16A2P-6A</t>
  </si>
  <si>
    <t xml:space="preserve">Informe desactualizado; Last Time Buy vencido (30/06/2026)</t>
  </si>
  <si>
    <t xml:space="preserve">Informe corregido para reflejar el esquemático; evaluar alternativa (ISSI o Alliance Memory)</t>
  </si>
  <si>
    <t xml:space="preserve">Corregido en informe</t>
  </si>
  <si>
    <t xml:space="preserve">D-08</t>
  </si>
  <si>
    <t xml:space="preserve">Desacoplamiento STM32</t>
  </si>
  <si>
    <t xml:space="preserve">Condensador cerámico cerca de cada pin de alimentación</t>
  </si>
  <si>
    <t xml:space="preserve">Un solo 100 nF (en NRST); 14 VDD sin condensador dedicado</t>
  </si>
  <si>
    <t xml:space="preserve">Riesgo de integridad de alimentación</t>
  </si>
  <si>
    <t xml:space="preserve">Añadir 100 nF por par VDD/VSS y 4,7 uF de volumen</t>
  </si>
  <si>
    <t xml:space="preserve">D-09</t>
  </si>
  <si>
    <t xml:space="preserve">eMMC VCCQ</t>
  </si>
  <si>
    <t xml:space="preserve">Informe previo: VCCQ = 1,8 V</t>
  </si>
  <si>
    <t xml:space="preserve">VCCQ = 3V3_DIGITAL</t>
  </si>
  <si>
    <t xml:space="preserve">El informe se corrigió al esquemático</t>
  </si>
  <si>
    <t xml:space="preserve">Mantener 3,3 V si la interfaz del host lo permite</t>
  </si>
  <si>
    <t xml:space="preserve">D-10</t>
  </si>
  <si>
    <t xml:space="preserve">Puntos de prueba</t>
  </si>
  <si>
    <t xml:space="preserve">NRST, VCAP, 3.3V_Iso, PWM</t>
  </si>
  <si>
    <t xml:space="preserve">No hay test points en el esquemático</t>
  </si>
  <si>
    <t xml:space="preserve">Dificulta la verificación de la tarjeta</t>
  </si>
  <si>
    <t xml:space="preserve">Añadir test points</t>
  </si>
  <si>
    <t xml:space="preserve">D-11</t>
  </si>
  <si>
    <t xml:space="preserve">Pines PWM vs FMC</t>
  </si>
  <si>
    <t xml:space="preserve">-</t>
  </si>
  <si>
    <t xml:space="preserve">PWM_A1/A2/B1/B2 asignados a PE9, PE11, PE13, PE14, que son pines de datos de FMC</t>
  </si>
  <si>
    <t xml:space="preserve">Conflicto al conectar FMC</t>
  </si>
  <si>
    <t xml:space="preserve">Reasignar PWM a pines de timer libres en CubeMX</t>
  </si>
  <si>
    <t xml:space="preserve">D-12</t>
  </si>
  <si>
    <t xml:space="preserve">PC/104 de apilamiento y mezzanine de alta densidad</t>
  </si>
  <si>
    <t xml:space="preserve">Cabeceras genéricas (3, 4, 5 y 16 pines); J_EPS sin 5 V ni VBATT</t>
  </si>
  <si>
    <t xml:space="preserve">Interfaces sin definición final de pines</t>
  </si>
  <si>
    <t xml:space="preserve">Definir conectores comerciales y tabla de pines</t>
  </si>
  <si>
    <t xml:space="preserve">D-13</t>
  </si>
  <si>
    <t xml:space="preserve">Cajetín de hojas</t>
  </si>
  <si>
    <t xml:space="preserve">Título, número, revisión y autores</t>
  </si>
  <si>
    <t xml:space="preserve">Cajetines vacíos</t>
  </si>
  <si>
    <t xml:space="preserve">Falta identificación de las hojas</t>
  </si>
  <si>
    <t xml:space="preserve">Rellenar Title, Number, Revision, Drawn By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</si>
</sst>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00"/>
    <numFmt numFmtId="166" formatCode="#,##0.00"/>
    <numFmt numFmtId="167" formatCode="0.0%"/>
    <numFmt numFmtId="168" formatCode="General"/>
    <numFmt numFmtId="169" formatCode="0.0"/>
    <numFmt numFmtId="170" formatCode="0.00E+00"/>
    <numFmt numFmtId="171" formatCode="0"/>
    <numFmt numFmtId="172" formatCode="0.00"/>
    <numFmt numFmtId="173" formatCode="0.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6633"/>
        <bgColor rgb="FF008080"/>
      </patternFill>
    </fill>
    <fill>
      <patternFill patternType="solid">
        <fgColor rgb="FFFFFF99"/>
        <bgColor rgb="FFFCE4D6"/>
      </patternFill>
    </fill>
    <fill>
      <patternFill patternType="solid">
        <fgColor rgb="FFFCE4D6"/>
        <bgColor rgb="FFE2EFDA"/>
      </patternFill>
    </fill>
    <fill>
      <patternFill patternType="solid">
        <fgColor rgb="FFE2EFDA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2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3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33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CE4D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Costo de componentes por tarjeta vs. tamaño del lote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Costos!D28</c:f>
              <c:strCache>
                <c:ptCount val="1"/>
                <c:pt idx="0">
                  <c:v>Costo por tarjeta (USD)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Costos!$B$29:$B$31</c:f>
              <c:strCache>
                <c:ptCount val="3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</c:strCache>
            </c:strRef>
          </c:cat>
          <c:val>
            <c:numRef>
              <c:f>Costos!$D$29:$D$31</c:f>
              <c:numCache>
                <c:formatCode>#,##0.00</c:formatCode>
                <c:ptCount val="3"/>
                <c:pt idx="0">
                  <c:v>23.02879</c:v>
                </c:pt>
                <c:pt idx="1">
                  <c:v>19.61978</c:v>
                </c:pt>
                <c:pt idx="2">
                  <c:v>18.42252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4284966"/>
        <c:axId val="44704060"/>
      </c:lineChart>
      <c:catAx>
        <c:axId val="542849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Tarjetas en el lote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704060"/>
        <c:crosses val="autoZero"/>
        <c:auto val="1"/>
        <c:lblAlgn val="ctr"/>
        <c:lblOffset val="100"/>
        <c:noMultiLvlLbl val="0"/>
      </c:catAx>
      <c:valAx>
        <c:axId val="447040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 por tarjeta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2849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30</xdr:row>
      <xdr:rowOff>62280</xdr:rowOff>
    </xdr:from>
    <xdr:to>
      <xdr:col>7</xdr:col>
      <xdr:colOff>332280</xdr:colOff>
      <xdr:row>45</xdr:row>
      <xdr:rowOff>84600</xdr:rowOff>
    </xdr:to>
    <xdr:graphicFrame>
      <xdr:nvGraphicFramePr>
        <xdr:cNvPr id="0" name="Chart 1"/>
        <xdr:cNvGraphicFramePr/>
      </xdr:nvGraphicFramePr>
      <xdr:xfrm>
        <a:off x="563760" y="6286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2" t="s">
        <v>10</v>
      </c>
    </row>
    <row r="13" customFormat="false" ht="15" hidden="false" customHeight="false" outlineLevel="0" collapsed="false">
      <c r="A13" s="2" t="s">
        <v>11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 t="s">
        <v>14</v>
      </c>
    </row>
    <row r="18" customFormat="false" ht="23.85" hidden="false" customHeight="false" outlineLevel="0" collapsed="false">
      <c r="A18" s="2" t="s">
        <v>15</v>
      </c>
    </row>
    <row r="19" customFormat="false" ht="15" hidden="false" customHeight="false" outlineLevel="0" collapsed="false">
      <c r="A19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90"/>
  </cols>
  <sheetData>
    <row r="1" customFormat="false" ht="15" hidden="false" customHeight="false" outlineLevel="0" collapsed="false">
      <c r="A1" s="4" t="s">
        <v>17</v>
      </c>
      <c r="B1" s="4" t="s">
        <v>18</v>
      </c>
      <c r="C1" s="4" t="s">
        <v>19</v>
      </c>
      <c r="D1" s="4" t="s">
        <v>20</v>
      </c>
    </row>
    <row r="2" customFormat="false" ht="15" hidden="false" customHeight="false" outlineLevel="0" collapsed="false">
      <c r="A2" s="5" t="s">
        <v>21</v>
      </c>
      <c r="B2" s="6" t="n">
        <v>10</v>
      </c>
      <c r="C2" s="5" t="s">
        <v>22</v>
      </c>
      <c r="D2" s="5" t="s">
        <v>23</v>
      </c>
    </row>
    <row r="3" customFormat="false" ht="15" hidden="false" customHeight="false" outlineLevel="0" collapsed="false">
      <c r="A3" s="5" t="s">
        <v>24</v>
      </c>
      <c r="B3" s="6" t="n">
        <v>100</v>
      </c>
      <c r="C3" s="5" t="s">
        <v>22</v>
      </c>
      <c r="D3" s="5" t="s">
        <v>23</v>
      </c>
    </row>
    <row r="4" customFormat="false" ht="15" hidden="false" customHeight="false" outlineLevel="0" collapsed="false">
      <c r="A4" s="5" t="s">
        <v>25</v>
      </c>
      <c r="B4" s="6" t="n">
        <v>1000</v>
      </c>
      <c r="C4" s="5" t="s">
        <v>22</v>
      </c>
      <c r="D4" s="5" t="s">
        <v>23</v>
      </c>
    </row>
    <row r="5" customFormat="false" ht="15" hidden="false" customHeight="false" outlineLevel="0" collapsed="false">
      <c r="A5" s="5" t="s">
        <v>26</v>
      </c>
      <c r="B5" s="6" t="n">
        <v>0.77</v>
      </c>
      <c r="C5" s="5" t="s">
        <v>27</v>
      </c>
      <c r="D5" s="5" t="s">
        <v>28</v>
      </c>
    </row>
    <row r="6" customFormat="false" ht="15" hidden="false" customHeight="false" outlineLevel="0" collapsed="false">
      <c r="A6" s="5" t="s">
        <v>29</v>
      </c>
      <c r="B6" s="6" t="n">
        <v>1.08</v>
      </c>
      <c r="C6" s="5" t="s">
        <v>30</v>
      </c>
      <c r="D6" s="5" t="s">
        <v>28</v>
      </c>
    </row>
    <row r="7" customFormat="false" ht="15" hidden="false" customHeight="false" outlineLevel="0" collapsed="false">
      <c r="A7" s="5" t="s">
        <v>31</v>
      </c>
      <c r="B7" s="6" t="s">
        <v>32</v>
      </c>
      <c r="C7" s="5"/>
      <c r="D7" s="5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4" min="3" style="0" width="10"/>
    <col collapsed="false" customWidth="true" hidden="false" outlineLevel="0" max="11" min="5" style="0" width="8"/>
    <col collapsed="false" customWidth="true" hidden="false" outlineLevel="0" max="18" min="12" style="0" width="10"/>
    <col collapsed="false" customWidth="true" hidden="false" outlineLevel="0" max="19" min="19" style="0" width="14"/>
    <col collapsed="false" customWidth="true" hidden="false" outlineLevel="0" max="20" min="20" style="0" width="80"/>
  </cols>
  <sheetData>
    <row r="1" customFormat="false" ht="23.85" hidden="false" customHeight="false" outlineLevel="0" collapsed="false">
      <c r="A1" s="4" t="s">
        <v>34</v>
      </c>
      <c r="B1" s="4" t="s">
        <v>35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40</v>
      </c>
      <c r="H1" s="4" t="s">
        <v>41</v>
      </c>
      <c r="I1" s="4" t="s">
        <v>42</v>
      </c>
      <c r="J1" s="4" t="s">
        <v>43</v>
      </c>
      <c r="K1" s="4" t="s">
        <v>44</v>
      </c>
      <c r="L1" s="4" t="s">
        <v>45</v>
      </c>
      <c r="M1" s="4" t="s">
        <v>46</v>
      </c>
      <c r="N1" s="4" t="s">
        <v>47</v>
      </c>
      <c r="O1" s="4" t="s">
        <v>48</v>
      </c>
      <c r="P1" s="4" t="s">
        <v>49</v>
      </c>
      <c r="Q1" s="4" t="s">
        <v>50</v>
      </c>
      <c r="R1" s="4" t="s">
        <v>51</v>
      </c>
      <c r="S1" s="4" t="s">
        <v>52</v>
      </c>
      <c r="T1" s="4" t="s">
        <v>53</v>
      </c>
    </row>
    <row r="2" customFormat="false" ht="23.85" hidden="false" customHeight="false" outlineLevel="0" collapsed="false">
      <c r="A2" s="5" t="s">
        <v>54</v>
      </c>
      <c r="B2" s="5" t="s">
        <v>55</v>
      </c>
      <c r="C2" s="5" t="s">
        <v>56</v>
      </c>
      <c r="D2" s="5" t="n">
        <v>1</v>
      </c>
      <c r="E2" s="7" t="n">
        <v>1</v>
      </c>
      <c r="F2" s="7" t="n">
        <v>10</v>
      </c>
      <c r="G2" s="7" t="n">
        <v>30</v>
      </c>
      <c r="H2" s="7" t="n">
        <v>100</v>
      </c>
      <c r="I2" s="7" t="n">
        <v>1000000</v>
      </c>
      <c r="J2" s="7" t="n">
        <v>2000000</v>
      </c>
      <c r="K2" s="7" t="n">
        <v>3000000</v>
      </c>
      <c r="L2" s="8" t="n">
        <v>9.2873</v>
      </c>
      <c r="M2" s="8" t="n">
        <v>8.0151</v>
      </c>
      <c r="N2" s="8" t="n">
        <v>7.2387</v>
      </c>
      <c r="O2" s="8" t="n">
        <v>6.587</v>
      </c>
      <c r="P2" s="8" t="n">
        <v>6.587</v>
      </c>
      <c r="Q2" s="8" t="n">
        <v>6.587</v>
      </c>
      <c r="R2" s="8" t="n">
        <v>6.587</v>
      </c>
      <c r="S2" s="5" t="s">
        <v>57</v>
      </c>
      <c r="T2" s="5" t="s">
        <v>58</v>
      </c>
    </row>
    <row r="3" customFormat="false" ht="23.85" hidden="false" customHeight="false" outlineLevel="0" collapsed="false">
      <c r="A3" s="5" t="s">
        <v>59</v>
      </c>
      <c r="B3" s="5" t="s">
        <v>60</v>
      </c>
      <c r="C3" s="5" t="s">
        <v>56</v>
      </c>
      <c r="D3" s="5" t="n">
        <v>1</v>
      </c>
      <c r="E3" s="7" t="n">
        <v>1</v>
      </c>
      <c r="F3" s="7" t="n">
        <v>10</v>
      </c>
      <c r="G3" s="7" t="n">
        <v>30</v>
      </c>
      <c r="H3" s="7" t="n">
        <v>152</v>
      </c>
      <c r="I3" s="7" t="n">
        <v>456</v>
      </c>
      <c r="J3" s="7" t="n">
        <v>1064</v>
      </c>
      <c r="K3" s="7" t="n">
        <v>1976</v>
      </c>
      <c r="L3" s="8" t="n">
        <v>5.3178</v>
      </c>
      <c r="M3" s="8" t="n">
        <v>4.6209</v>
      </c>
      <c r="N3" s="8" t="n">
        <v>4.2064</v>
      </c>
      <c r="O3" s="8" t="n">
        <v>3.7873</v>
      </c>
      <c r="P3" s="8" t="n">
        <v>3.5938</v>
      </c>
      <c r="Q3" s="8" t="n">
        <v>3.5063</v>
      </c>
      <c r="R3" s="8" t="n">
        <v>3.468</v>
      </c>
      <c r="S3" s="5" t="s">
        <v>61</v>
      </c>
      <c r="T3" s="5" t="s">
        <v>62</v>
      </c>
    </row>
    <row r="4" customFormat="false" ht="46.25" hidden="false" customHeight="false" outlineLevel="0" collapsed="false">
      <c r="A4" s="9" t="s">
        <v>63</v>
      </c>
      <c r="B4" s="9" t="s">
        <v>64</v>
      </c>
      <c r="C4" s="9" t="s">
        <v>65</v>
      </c>
      <c r="D4" s="9" t="n">
        <f aca="false">Supuestos!$B$6</f>
        <v>1.08</v>
      </c>
      <c r="E4" s="10" t="n">
        <v>1</v>
      </c>
      <c r="F4" s="10" t="n">
        <v>1000000</v>
      </c>
      <c r="G4" s="10" t="n">
        <v>2000000</v>
      </c>
      <c r="H4" s="10" t="n">
        <v>3000000</v>
      </c>
      <c r="I4" s="10" t="n">
        <v>4000000</v>
      </c>
      <c r="J4" s="10" t="n">
        <v>5000000</v>
      </c>
      <c r="K4" s="10" t="n">
        <v>6000000</v>
      </c>
      <c r="L4" s="11" t="n">
        <v>4.52</v>
      </c>
      <c r="M4" s="11" t="n">
        <v>4.52</v>
      </c>
      <c r="N4" s="11" t="n">
        <v>4.52</v>
      </c>
      <c r="O4" s="11" t="n">
        <v>4.52</v>
      </c>
      <c r="P4" s="11" t="n">
        <v>4.52</v>
      </c>
      <c r="Q4" s="11" t="n">
        <v>4.52</v>
      </c>
      <c r="R4" s="11" t="n">
        <v>4.52</v>
      </c>
      <c r="S4" s="9" t="s">
        <v>66</v>
      </c>
      <c r="T4" s="9" t="s">
        <v>67</v>
      </c>
    </row>
    <row r="5" customFormat="false" ht="23.85" hidden="false" customHeight="false" outlineLevel="0" collapsed="false">
      <c r="A5" s="5" t="s">
        <v>68</v>
      </c>
      <c r="B5" s="5" t="s">
        <v>69</v>
      </c>
      <c r="C5" s="5" t="s">
        <v>56</v>
      </c>
      <c r="D5" s="5" t="n">
        <v>1</v>
      </c>
      <c r="E5" s="7" t="n">
        <v>1</v>
      </c>
      <c r="F5" s="7" t="n">
        <v>10</v>
      </c>
      <c r="G5" s="7" t="n">
        <v>30</v>
      </c>
      <c r="H5" s="7" t="n">
        <v>100</v>
      </c>
      <c r="I5" s="7" t="n">
        <v>500</v>
      </c>
      <c r="J5" s="7" t="n">
        <v>1000</v>
      </c>
      <c r="K5" s="7" t="n">
        <v>1000000</v>
      </c>
      <c r="L5" s="8" t="n">
        <v>1.0689</v>
      </c>
      <c r="M5" s="8" t="n">
        <v>0.8819</v>
      </c>
      <c r="N5" s="8" t="n">
        <v>0.7803</v>
      </c>
      <c r="O5" s="8" t="n">
        <v>0.6642</v>
      </c>
      <c r="P5" s="8" t="n">
        <v>0.6126</v>
      </c>
      <c r="Q5" s="8" t="n">
        <v>0.5901</v>
      </c>
      <c r="R5" s="8" t="n">
        <v>0.5901</v>
      </c>
      <c r="S5" s="5" t="s">
        <v>57</v>
      </c>
      <c r="T5" s="5" t="s">
        <v>70</v>
      </c>
    </row>
    <row r="6" customFormat="false" ht="23.85" hidden="false" customHeight="false" outlineLevel="0" collapsed="false">
      <c r="A6" s="5" t="s">
        <v>71</v>
      </c>
      <c r="B6" s="5" t="s">
        <v>72</v>
      </c>
      <c r="C6" s="5" t="s">
        <v>56</v>
      </c>
      <c r="D6" s="5" t="n">
        <v>1</v>
      </c>
      <c r="E6" s="7" t="n">
        <v>1</v>
      </c>
      <c r="F6" s="7" t="n">
        <v>10</v>
      </c>
      <c r="G6" s="7" t="n">
        <v>30</v>
      </c>
      <c r="H6" s="7" t="n">
        <v>100</v>
      </c>
      <c r="I6" s="7" t="n">
        <v>500</v>
      </c>
      <c r="J6" s="7" t="n">
        <v>1000</v>
      </c>
      <c r="K6" s="7" t="n">
        <v>1000000</v>
      </c>
      <c r="L6" s="8" t="n">
        <v>0.6751</v>
      </c>
      <c r="M6" s="8" t="n">
        <v>0.5379</v>
      </c>
      <c r="N6" s="8" t="n">
        <v>0.4692</v>
      </c>
      <c r="O6" s="8" t="n">
        <v>0.4006</v>
      </c>
      <c r="P6" s="8" t="n">
        <v>0.3735</v>
      </c>
      <c r="Q6" s="8" t="n">
        <v>0.3511</v>
      </c>
      <c r="R6" s="8" t="n">
        <v>0.3511</v>
      </c>
      <c r="S6" s="5" t="s">
        <v>57</v>
      </c>
      <c r="T6" s="5" t="s">
        <v>73</v>
      </c>
    </row>
    <row r="7" customFormat="false" ht="23.85" hidden="false" customHeight="false" outlineLevel="0" collapsed="false">
      <c r="A7" s="9" t="s">
        <v>74</v>
      </c>
      <c r="B7" s="9" t="s">
        <v>75</v>
      </c>
      <c r="C7" s="9" t="s">
        <v>56</v>
      </c>
      <c r="D7" s="9" t="n">
        <v>1</v>
      </c>
      <c r="E7" s="10" t="n">
        <v>1</v>
      </c>
      <c r="F7" s="10" t="n">
        <v>10</v>
      </c>
      <c r="G7" s="10" t="n">
        <v>30</v>
      </c>
      <c r="H7" s="10" t="n">
        <v>100</v>
      </c>
      <c r="I7" s="10" t="n">
        <v>1000000</v>
      </c>
      <c r="J7" s="10" t="n">
        <v>2000000</v>
      </c>
      <c r="K7" s="10" t="n">
        <v>3000000</v>
      </c>
      <c r="L7" s="11" t="n">
        <v>0.6966</v>
      </c>
      <c r="M7" s="11" t="n">
        <v>0.5644</v>
      </c>
      <c r="N7" s="11" t="n">
        <v>0.4983</v>
      </c>
      <c r="O7" s="11" t="n">
        <v>0.4321</v>
      </c>
      <c r="P7" s="11" t="n">
        <v>0.4321</v>
      </c>
      <c r="Q7" s="11" t="n">
        <v>0.4321</v>
      </c>
      <c r="R7" s="11" t="n">
        <v>0.4321</v>
      </c>
      <c r="S7" s="9" t="s">
        <v>76</v>
      </c>
      <c r="T7" s="9" t="s">
        <v>77</v>
      </c>
    </row>
    <row r="8" customFormat="false" ht="23.85" hidden="false" customHeight="false" outlineLevel="0" collapsed="false">
      <c r="A8" s="5" t="s">
        <v>78</v>
      </c>
      <c r="B8" s="5" t="s">
        <v>79</v>
      </c>
      <c r="C8" s="5" t="s">
        <v>56</v>
      </c>
      <c r="D8" s="5" t="n">
        <v>1</v>
      </c>
      <c r="E8" s="7" t="n">
        <v>1</v>
      </c>
      <c r="F8" s="7" t="n">
        <v>10</v>
      </c>
      <c r="G8" s="7" t="n">
        <v>50</v>
      </c>
      <c r="H8" s="7" t="n">
        <v>100</v>
      </c>
      <c r="I8" s="7" t="n">
        <v>500</v>
      </c>
      <c r="J8" s="7" t="n">
        <v>1000</v>
      </c>
      <c r="K8" s="7" t="n">
        <v>5000</v>
      </c>
      <c r="L8" s="8" t="n">
        <v>0.1</v>
      </c>
      <c r="M8" s="8" t="n">
        <v>0.024</v>
      </c>
      <c r="N8" s="8" t="n">
        <v>0.0156</v>
      </c>
      <c r="O8" s="8" t="n">
        <v>0.0132</v>
      </c>
      <c r="P8" s="8" t="n">
        <v>0.0093</v>
      </c>
      <c r="Q8" s="8" t="n">
        <v>0.008</v>
      </c>
      <c r="R8" s="8" t="n">
        <v>0.006</v>
      </c>
      <c r="S8" s="5" t="s">
        <v>57</v>
      </c>
      <c r="T8" s="5" t="s">
        <v>80</v>
      </c>
    </row>
    <row r="9" customFormat="false" ht="23.85" hidden="false" customHeight="false" outlineLevel="0" collapsed="false">
      <c r="A9" s="5" t="s">
        <v>81</v>
      </c>
      <c r="B9" s="5" t="s">
        <v>82</v>
      </c>
      <c r="C9" s="5" t="s">
        <v>56</v>
      </c>
      <c r="D9" s="5" t="n">
        <v>1</v>
      </c>
      <c r="E9" s="7" t="n">
        <v>1</v>
      </c>
      <c r="F9" s="7" t="n">
        <v>10</v>
      </c>
      <c r="G9" s="7" t="n">
        <v>25</v>
      </c>
      <c r="H9" s="7" t="n">
        <v>1000000</v>
      </c>
      <c r="I9" s="7" t="n">
        <v>2000000</v>
      </c>
      <c r="J9" s="7" t="n">
        <v>3000000</v>
      </c>
      <c r="K9" s="7" t="n">
        <v>4000000</v>
      </c>
      <c r="L9" s="8" t="n">
        <v>0.1</v>
      </c>
      <c r="M9" s="8" t="n">
        <v>0.034</v>
      </c>
      <c r="N9" s="8" t="n">
        <v>0.0256</v>
      </c>
      <c r="O9" s="8" t="n">
        <v>0.0256</v>
      </c>
      <c r="P9" s="8" t="n">
        <v>0.0256</v>
      </c>
      <c r="Q9" s="8" t="n">
        <v>0.0256</v>
      </c>
      <c r="R9" s="8" t="n">
        <v>0.0256</v>
      </c>
      <c r="S9" s="5" t="s">
        <v>57</v>
      </c>
      <c r="T9" s="5" t="s">
        <v>83</v>
      </c>
    </row>
    <row r="10" customFormat="false" ht="23.85" hidden="false" customHeight="false" outlineLevel="0" collapsed="false">
      <c r="A10" s="9" t="s">
        <v>84</v>
      </c>
      <c r="B10" s="9" t="s">
        <v>85</v>
      </c>
      <c r="C10" s="9" t="s">
        <v>56</v>
      </c>
      <c r="D10" s="9" t="n">
        <v>1</v>
      </c>
      <c r="E10" s="10" t="n">
        <v>1</v>
      </c>
      <c r="F10" s="10" t="n">
        <v>10</v>
      </c>
      <c r="G10" s="10" t="n">
        <v>25</v>
      </c>
      <c r="H10" s="10" t="n">
        <v>1000000</v>
      </c>
      <c r="I10" s="10" t="n">
        <v>2000000</v>
      </c>
      <c r="J10" s="10" t="n">
        <v>3000000</v>
      </c>
      <c r="K10" s="10" t="n">
        <v>4000000</v>
      </c>
      <c r="L10" s="11" t="n">
        <v>0.1</v>
      </c>
      <c r="M10" s="11" t="n">
        <v>0.034</v>
      </c>
      <c r="N10" s="11" t="n">
        <v>0.0256</v>
      </c>
      <c r="O10" s="11" t="n">
        <v>0.0256</v>
      </c>
      <c r="P10" s="11" t="n">
        <v>0.0256</v>
      </c>
      <c r="Q10" s="11" t="n">
        <v>0.0256</v>
      </c>
      <c r="R10" s="11" t="n">
        <v>0.0256</v>
      </c>
      <c r="S10" s="9" t="s">
        <v>86</v>
      </c>
      <c r="T10" s="9" t="s">
        <v>87</v>
      </c>
    </row>
    <row r="11" customFormat="false" ht="15" hidden="false" customHeight="false" outlineLevel="0" collapsed="false">
      <c r="A11" s="9" t="s">
        <v>88</v>
      </c>
      <c r="B11" s="9" t="s">
        <v>89</v>
      </c>
      <c r="C11" s="9" t="s">
        <v>56</v>
      </c>
      <c r="D11" s="9" t="n">
        <v>1</v>
      </c>
      <c r="E11" s="10" t="n">
        <v>1</v>
      </c>
      <c r="F11" s="10" t="n">
        <v>100</v>
      </c>
      <c r="G11" s="10" t="n">
        <v>1000</v>
      </c>
      <c r="H11" s="10" t="n">
        <v>1000000</v>
      </c>
      <c r="I11" s="10" t="n">
        <v>2000000</v>
      </c>
      <c r="J11" s="10" t="n">
        <v>3000000</v>
      </c>
      <c r="K11" s="10" t="n">
        <v>4000000</v>
      </c>
      <c r="L11" s="11" t="n">
        <v>0.05</v>
      </c>
      <c r="M11" s="11" t="n">
        <v>0.02</v>
      </c>
      <c r="N11" s="11" t="n">
        <v>0.012</v>
      </c>
      <c r="O11" s="11" t="n">
        <v>0.012</v>
      </c>
      <c r="P11" s="11" t="n">
        <v>0.012</v>
      </c>
      <c r="Q11" s="11" t="n">
        <v>0.012</v>
      </c>
      <c r="R11" s="11" t="n">
        <v>0.012</v>
      </c>
      <c r="S11" s="9" t="s">
        <v>66</v>
      </c>
      <c r="T11" s="9" t="s">
        <v>90</v>
      </c>
    </row>
    <row r="12" customFormat="false" ht="15" hidden="false" customHeight="false" outlineLevel="0" collapsed="false">
      <c r="A12" s="9" t="s">
        <v>91</v>
      </c>
      <c r="B12" s="9" t="s">
        <v>92</v>
      </c>
      <c r="C12" s="9" t="s">
        <v>56</v>
      </c>
      <c r="D12" s="9" t="n">
        <v>1</v>
      </c>
      <c r="E12" s="10" t="n">
        <v>1</v>
      </c>
      <c r="F12" s="10" t="n">
        <v>100</v>
      </c>
      <c r="G12" s="10" t="n">
        <v>1000</v>
      </c>
      <c r="H12" s="10" t="n">
        <v>1000000</v>
      </c>
      <c r="I12" s="10" t="n">
        <v>2000000</v>
      </c>
      <c r="J12" s="10" t="n">
        <v>3000000</v>
      </c>
      <c r="K12" s="10" t="n">
        <v>4000000</v>
      </c>
      <c r="L12" s="11" t="n">
        <v>0.1</v>
      </c>
      <c r="M12" s="11" t="n">
        <v>0.05</v>
      </c>
      <c r="N12" s="11" t="n">
        <v>0.03</v>
      </c>
      <c r="O12" s="11" t="n">
        <v>0.03</v>
      </c>
      <c r="P12" s="11" t="n">
        <v>0.03</v>
      </c>
      <c r="Q12" s="11" t="n">
        <v>0.03</v>
      </c>
      <c r="R12" s="11" t="n">
        <v>0.03</v>
      </c>
      <c r="S12" s="9" t="s">
        <v>66</v>
      </c>
      <c r="T12" s="9" t="s">
        <v>90</v>
      </c>
    </row>
    <row r="13" customFormat="false" ht="15" hidden="false" customHeight="false" outlineLevel="0" collapsed="false">
      <c r="A13" s="9" t="s">
        <v>93</v>
      </c>
      <c r="B13" s="9" t="s">
        <v>94</v>
      </c>
      <c r="C13" s="9" t="s">
        <v>56</v>
      </c>
      <c r="D13" s="9" t="n">
        <v>1</v>
      </c>
      <c r="E13" s="10" t="n">
        <v>1</v>
      </c>
      <c r="F13" s="10" t="n">
        <v>100</v>
      </c>
      <c r="G13" s="10" t="n">
        <v>1000</v>
      </c>
      <c r="H13" s="10" t="n">
        <v>1000000</v>
      </c>
      <c r="I13" s="10" t="n">
        <v>2000000</v>
      </c>
      <c r="J13" s="10" t="n">
        <v>3000000</v>
      </c>
      <c r="K13" s="10" t="n">
        <v>4000000</v>
      </c>
      <c r="L13" s="11" t="n">
        <v>0.15</v>
      </c>
      <c r="M13" s="11" t="n">
        <v>0.08</v>
      </c>
      <c r="N13" s="11" t="n">
        <v>0.05</v>
      </c>
      <c r="O13" s="11" t="n">
        <v>0.05</v>
      </c>
      <c r="P13" s="11" t="n">
        <v>0.05</v>
      </c>
      <c r="Q13" s="11" t="n">
        <v>0.05</v>
      </c>
      <c r="R13" s="11" t="n">
        <v>0.05</v>
      </c>
      <c r="S13" s="9" t="s">
        <v>66</v>
      </c>
      <c r="T13" s="9" t="s">
        <v>90</v>
      </c>
    </row>
    <row r="14" customFormat="false" ht="23.85" hidden="false" customHeight="false" outlineLevel="0" collapsed="false">
      <c r="A14" s="5" t="s">
        <v>95</v>
      </c>
      <c r="B14" s="5" t="s">
        <v>96</v>
      </c>
      <c r="C14" s="5" t="s">
        <v>97</v>
      </c>
      <c r="D14" s="5" t="n">
        <f aca="false">Supuestos!$B$5</f>
        <v>0.77</v>
      </c>
      <c r="E14" s="7" t="n">
        <v>1</v>
      </c>
      <c r="F14" s="7" t="n">
        <v>10</v>
      </c>
      <c r="G14" s="7" t="n">
        <v>50</v>
      </c>
      <c r="H14" s="7" t="n">
        <v>250</v>
      </c>
      <c r="I14" s="7" t="n">
        <v>750</v>
      </c>
      <c r="J14" s="7" t="n">
        <v>2250</v>
      </c>
      <c r="K14" s="7" t="n">
        <v>1000000</v>
      </c>
      <c r="L14" s="8" t="n">
        <v>0.967</v>
      </c>
      <c r="M14" s="8" t="n">
        <v>0.967</v>
      </c>
      <c r="N14" s="8" t="n">
        <v>0.964</v>
      </c>
      <c r="O14" s="8" t="n">
        <v>0.95</v>
      </c>
      <c r="P14" s="8" t="n">
        <v>0.906</v>
      </c>
      <c r="Q14" s="8" t="n">
        <v>0.782</v>
      </c>
      <c r="R14" s="8" t="n">
        <v>0.782</v>
      </c>
      <c r="S14" s="5" t="s">
        <v>98</v>
      </c>
      <c r="T14" s="5" t="s">
        <v>99</v>
      </c>
    </row>
    <row r="15" customFormat="false" ht="23.85" hidden="false" customHeight="false" outlineLevel="0" collapsed="false">
      <c r="A15" s="9" t="s">
        <v>100</v>
      </c>
      <c r="B15" s="9" t="s">
        <v>101</v>
      </c>
      <c r="C15" s="9" t="s">
        <v>56</v>
      </c>
      <c r="D15" s="9" t="n">
        <v>1</v>
      </c>
      <c r="E15" s="10" t="n">
        <v>1</v>
      </c>
      <c r="F15" s="10" t="n">
        <v>100</v>
      </c>
      <c r="G15" s="10" t="n">
        <v>1000</v>
      </c>
      <c r="H15" s="10" t="n">
        <v>1000000</v>
      </c>
      <c r="I15" s="10" t="n">
        <v>2000000</v>
      </c>
      <c r="J15" s="10" t="n">
        <v>3000000</v>
      </c>
      <c r="K15" s="10" t="n">
        <v>4000000</v>
      </c>
      <c r="L15" s="11" t="n">
        <v>0.08</v>
      </c>
      <c r="M15" s="11" t="n">
        <v>0.05</v>
      </c>
      <c r="N15" s="11" t="n">
        <v>0.03</v>
      </c>
      <c r="O15" s="11" t="n">
        <v>0.03</v>
      </c>
      <c r="P15" s="11" t="n">
        <v>0.03</v>
      </c>
      <c r="Q15" s="11" t="n">
        <v>0.03</v>
      </c>
      <c r="R15" s="11" t="n">
        <v>0.03</v>
      </c>
      <c r="S15" s="9" t="s">
        <v>66</v>
      </c>
      <c r="T15" s="9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38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30"/>
    <col collapsed="false" customWidth="true" hidden="false" outlineLevel="0" max="7" min="7" style="0" width="24"/>
    <col collapsed="false" customWidth="true" hidden="false" outlineLevel="0" max="8" min="8" style="0" width="22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60"/>
  </cols>
  <sheetData>
    <row r="1" customFormat="false" ht="35.05" hidden="false" customHeight="false" outlineLevel="0" collapsed="false">
      <c r="A1" s="4" t="s">
        <v>103</v>
      </c>
      <c r="B1" s="4" t="s">
        <v>104</v>
      </c>
      <c r="C1" s="4" t="s">
        <v>105</v>
      </c>
      <c r="D1" s="4" t="s">
        <v>106</v>
      </c>
      <c r="E1" s="4" t="s">
        <v>107</v>
      </c>
      <c r="F1" s="4" t="s">
        <v>108</v>
      </c>
      <c r="G1" s="4" t="s">
        <v>109</v>
      </c>
      <c r="H1" s="4" t="s">
        <v>110</v>
      </c>
      <c r="I1" s="4" t="s">
        <v>111</v>
      </c>
      <c r="J1" s="4" t="s">
        <v>112</v>
      </c>
      <c r="K1" s="4" t="s">
        <v>113</v>
      </c>
      <c r="L1" s="4" t="s">
        <v>114</v>
      </c>
    </row>
    <row r="2" customFormat="false" ht="23.85" hidden="false" customHeight="false" outlineLevel="0" collapsed="false">
      <c r="A2" s="5" t="n">
        <v>1</v>
      </c>
      <c r="B2" s="5" t="s">
        <v>115</v>
      </c>
      <c r="C2" s="5" t="s">
        <v>116</v>
      </c>
      <c r="D2" s="5" t="n">
        <v>1</v>
      </c>
      <c r="E2" s="5" t="s">
        <v>117</v>
      </c>
      <c r="F2" s="5" t="s">
        <v>55</v>
      </c>
      <c r="G2" s="5" t="s">
        <v>118</v>
      </c>
      <c r="H2" s="5" t="s">
        <v>119</v>
      </c>
      <c r="I2" s="5" t="s">
        <v>120</v>
      </c>
      <c r="J2" s="5" t="s">
        <v>54</v>
      </c>
      <c r="K2" s="5"/>
      <c r="L2" s="5" t="s">
        <v>121</v>
      </c>
    </row>
    <row r="3" customFormat="false" ht="23.85" hidden="false" customHeight="false" outlineLevel="0" collapsed="false">
      <c r="A3" s="5" t="n">
        <v>2</v>
      </c>
      <c r="B3" s="5" t="s">
        <v>122</v>
      </c>
      <c r="C3" s="5" t="s">
        <v>123</v>
      </c>
      <c r="D3" s="5" t="n">
        <v>1</v>
      </c>
      <c r="E3" s="5" t="s">
        <v>124</v>
      </c>
      <c r="F3" s="5" t="s">
        <v>125</v>
      </c>
      <c r="G3" s="5" t="s">
        <v>126</v>
      </c>
      <c r="H3" s="5" t="s">
        <v>127</v>
      </c>
      <c r="I3" s="5" t="s">
        <v>120</v>
      </c>
      <c r="J3" s="5" t="s">
        <v>59</v>
      </c>
      <c r="K3" s="5"/>
      <c r="L3" s="5" t="s">
        <v>128</v>
      </c>
    </row>
    <row r="4" customFormat="false" ht="15" hidden="false" customHeight="false" outlineLevel="0" collapsed="false">
      <c r="A4" s="5" t="n">
        <v>3</v>
      </c>
      <c r="B4" s="5" t="s">
        <v>129</v>
      </c>
      <c r="C4" s="5" t="s">
        <v>130</v>
      </c>
      <c r="D4" s="5" t="n">
        <v>1</v>
      </c>
      <c r="E4" s="5" t="s">
        <v>131</v>
      </c>
      <c r="F4" s="5" t="s">
        <v>132</v>
      </c>
      <c r="G4" s="5" t="s">
        <v>133</v>
      </c>
      <c r="H4" s="5" t="s">
        <v>127</v>
      </c>
      <c r="I4" s="5" t="s">
        <v>120</v>
      </c>
      <c r="J4" s="5" t="s">
        <v>63</v>
      </c>
      <c r="K4" s="5"/>
      <c r="L4" s="5" t="s">
        <v>134</v>
      </c>
    </row>
    <row r="5" customFormat="false" ht="15" hidden="false" customHeight="false" outlineLevel="0" collapsed="false">
      <c r="A5" s="5" t="n">
        <v>4</v>
      </c>
      <c r="B5" s="5" t="s">
        <v>135</v>
      </c>
      <c r="C5" s="5" t="s">
        <v>136</v>
      </c>
      <c r="D5" s="5" t="n">
        <v>1</v>
      </c>
      <c r="E5" s="5" t="s">
        <v>137</v>
      </c>
      <c r="F5" s="5" t="s">
        <v>138</v>
      </c>
      <c r="G5" s="5" t="s">
        <v>139</v>
      </c>
      <c r="H5" s="5" t="s">
        <v>140</v>
      </c>
      <c r="I5" s="5" t="s">
        <v>120</v>
      </c>
      <c r="J5" s="5" t="s">
        <v>68</v>
      </c>
      <c r="K5" s="5"/>
      <c r="L5" s="5" t="s">
        <v>141</v>
      </c>
    </row>
    <row r="6" customFormat="false" ht="15" hidden="false" customHeight="false" outlineLevel="0" collapsed="false">
      <c r="A6" s="5" t="n">
        <v>5</v>
      </c>
      <c r="B6" s="5" t="s">
        <v>142</v>
      </c>
      <c r="C6" s="5" t="s">
        <v>143</v>
      </c>
      <c r="D6" s="5" t="n">
        <v>1</v>
      </c>
      <c r="E6" s="5" t="s">
        <v>137</v>
      </c>
      <c r="F6" s="5" t="s">
        <v>144</v>
      </c>
      <c r="G6" s="5" t="s">
        <v>145</v>
      </c>
      <c r="H6" s="5" t="s">
        <v>140</v>
      </c>
      <c r="I6" s="5" t="s">
        <v>120</v>
      </c>
      <c r="J6" s="5" t="s">
        <v>71</v>
      </c>
      <c r="K6" s="5"/>
      <c r="L6" s="5"/>
    </row>
    <row r="7" customFormat="false" ht="15" hidden="false" customHeight="false" outlineLevel="0" collapsed="false">
      <c r="A7" s="5" t="n">
        <v>6</v>
      </c>
      <c r="B7" s="5" t="s">
        <v>146</v>
      </c>
      <c r="C7" s="5" t="s">
        <v>147</v>
      </c>
      <c r="D7" s="5" t="n">
        <v>1</v>
      </c>
      <c r="E7" s="5" t="s">
        <v>148</v>
      </c>
      <c r="F7" s="5" t="s">
        <v>149</v>
      </c>
      <c r="G7" s="5" t="s">
        <v>150</v>
      </c>
      <c r="H7" s="5" t="s">
        <v>119</v>
      </c>
      <c r="I7" s="5" t="s">
        <v>120</v>
      </c>
      <c r="J7" s="5" t="s">
        <v>74</v>
      </c>
      <c r="K7" s="5"/>
      <c r="L7" s="5" t="s">
        <v>151</v>
      </c>
    </row>
    <row r="8" customFormat="false" ht="35.05" hidden="false" customHeight="false" outlineLevel="0" collapsed="false">
      <c r="A8" s="5" t="n">
        <v>7</v>
      </c>
      <c r="B8" s="5" t="s">
        <v>152</v>
      </c>
      <c r="C8" s="5" t="s">
        <v>153</v>
      </c>
      <c r="D8" s="5" t="n">
        <v>2</v>
      </c>
      <c r="E8" s="5" t="s">
        <v>154</v>
      </c>
      <c r="F8" s="5" t="s">
        <v>155</v>
      </c>
      <c r="G8" s="5" t="s">
        <v>156</v>
      </c>
      <c r="H8" s="5" t="s">
        <v>157</v>
      </c>
      <c r="I8" s="5" t="s">
        <v>120</v>
      </c>
      <c r="J8" s="5" t="s">
        <v>78</v>
      </c>
      <c r="K8" s="5"/>
      <c r="L8" s="5" t="s">
        <v>158</v>
      </c>
    </row>
    <row r="9" customFormat="false" ht="15" hidden="false" customHeight="false" outlineLevel="0" collapsed="false">
      <c r="A9" s="5" t="n">
        <v>8</v>
      </c>
      <c r="B9" s="5" t="s">
        <v>159</v>
      </c>
      <c r="C9" s="5" t="s">
        <v>160</v>
      </c>
      <c r="D9" s="5" t="n">
        <v>1</v>
      </c>
      <c r="E9" s="5" t="s">
        <v>161</v>
      </c>
      <c r="F9" s="5" t="s">
        <v>162</v>
      </c>
      <c r="G9" s="5" t="s">
        <v>163</v>
      </c>
      <c r="H9" s="5" t="s">
        <v>119</v>
      </c>
      <c r="I9" s="5" t="s">
        <v>120</v>
      </c>
      <c r="J9" s="5" t="s">
        <v>81</v>
      </c>
      <c r="K9" s="5"/>
      <c r="L9" s="5" t="s">
        <v>164</v>
      </c>
    </row>
    <row r="10" customFormat="false" ht="23.85" hidden="false" customHeight="false" outlineLevel="0" collapsed="false">
      <c r="A10" s="5" t="n">
        <v>9</v>
      </c>
      <c r="B10" s="5" t="s">
        <v>165</v>
      </c>
      <c r="C10" s="5" t="s">
        <v>166</v>
      </c>
      <c r="D10" s="5" t="n">
        <v>2</v>
      </c>
      <c r="E10" s="5" t="s">
        <v>167</v>
      </c>
      <c r="F10" s="5" t="s">
        <v>168</v>
      </c>
      <c r="G10" s="5" t="s">
        <v>163</v>
      </c>
      <c r="H10" s="5" t="s">
        <v>119</v>
      </c>
      <c r="I10" s="5" t="s">
        <v>120</v>
      </c>
      <c r="J10" s="5" t="s">
        <v>84</v>
      </c>
      <c r="K10" s="5"/>
      <c r="L10" s="5" t="s">
        <v>169</v>
      </c>
    </row>
    <row r="11" customFormat="false" ht="23.85" hidden="false" customHeight="false" outlineLevel="0" collapsed="false">
      <c r="A11" s="5" t="n">
        <v>10</v>
      </c>
      <c r="B11" s="5" t="s">
        <v>170</v>
      </c>
      <c r="C11" s="5" t="s">
        <v>171</v>
      </c>
      <c r="D11" s="5" t="n">
        <v>4</v>
      </c>
      <c r="E11" s="5" t="s">
        <v>167</v>
      </c>
      <c r="F11" s="5" t="s">
        <v>172</v>
      </c>
      <c r="G11" s="5" t="s">
        <v>163</v>
      </c>
      <c r="H11" s="5" t="s">
        <v>119</v>
      </c>
      <c r="I11" s="5" t="s">
        <v>120</v>
      </c>
      <c r="J11" s="5" t="s">
        <v>84</v>
      </c>
      <c r="K11" s="5"/>
      <c r="L11" s="5" t="s">
        <v>173</v>
      </c>
    </row>
    <row r="12" customFormat="false" ht="15" hidden="false" customHeight="false" outlineLevel="0" collapsed="false">
      <c r="A12" s="5" t="n">
        <v>11</v>
      </c>
      <c r="B12" s="5" t="s">
        <v>174</v>
      </c>
      <c r="C12" s="5" t="s">
        <v>175</v>
      </c>
      <c r="D12" s="5" t="n">
        <v>2</v>
      </c>
      <c r="E12" s="5" t="s">
        <v>176</v>
      </c>
      <c r="F12" s="5" t="s">
        <v>177</v>
      </c>
      <c r="G12" s="5" t="s">
        <v>178</v>
      </c>
      <c r="H12" s="5" t="s">
        <v>119</v>
      </c>
      <c r="I12" s="5" t="s">
        <v>120</v>
      </c>
      <c r="J12" s="5" t="s">
        <v>88</v>
      </c>
      <c r="K12" s="5"/>
      <c r="L12" s="5" t="s">
        <v>179</v>
      </c>
    </row>
    <row r="13" customFormat="false" ht="15" hidden="false" customHeight="false" outlineLevel="0" collapsed="false">
      <c r="A13" s="5" t="n">
        <v>12</v>
      </c>
      <c r="B13" s="5" t="s">
        <v>180</v>
      </c>
      <c r="C13" s="5" t="s">
        <v>181</v>
      </c>
      <c r="D13" s="5" t="n">
        <v>2</v>
      </c>
      <c r="E13" s="5" t="s">
        <v>176</v>
      </c>
      <c r="F13" s="5" t="s">
        <v>177</v>
      </c>
      <c r="G13" s="5" t="s">
        <v>182</v>
      </c>
      <c r="H13" s="5" t="s">
        <v>119</v>
      </c>
      <c r="I13" s="5" t="s">
        <v>120</v>
      </c>
      <c r="J13" s="5" t="s">
        <v>91</v>
      </c>
      <c r="K13" s="5"/>
      <c r="L13" s="5" t="s">
        <v>183</v>
      </c>
    </row>
    <row r="14" customFormat="false" ht="15" hidden="false" customHeight="false" outlineLevel="0" collapsed="false">
      <c r="A14" s="5" t="n">
        <v>13</v>
      </c>
      <c r="B14" s="5" t="s">
        <v>184</v>
      </c>
      <c r="C14" s="5" t="s">
        <v>185</v>
      </c>
      <c r="D14" s="5" t="n">
        <v>1</v>
      </c>
      <c r="E14" s="5" t="s">
        <v>176</v>
      </c>
      <c r="F14" s="5" t="s">
        <v>177</v>
      </c>
      <c r="G14" s="5" t="s">
        <v>186</v>
      </c>
      <c r="H14" s="5" t="s">
        <v>187</v>
      </c>
      <c r="I14" s="5" t="s">
        <v>120</v>
      </c>
      <c r="J14" s="5" t="s">
        <v>93</v>
      </c>
      <c r="K14" s="5"/>
      <c r="L14" s="5"/>
    </row>
    <row r="15" customFormat="false" ht="15" hidden="false" customHeight="false" outlineLevel="0" collapsed="false">
      <c r="A15" s="5" t="n">
        <v>14</v>
      </c>
      <c r="B15" s="5" t="s">
        <v>188</v>
      </c>
      <c r="C15" s="5" t="s">
        <v>189</v>
      </c>
      <c r="D15" s="5" t="n">
        <v>1</v>
      </c>
      <c r="E15" s="5" t="s">
        <v>190</v>
      </c>
      <c r="F15" s="5" t="s">
        <v>191</v>
      </c>
      <c r="G15" s="5" t="s">
        <v>192</v>
      </c>
      <c r="H15" s="5" t="s">
        <v>119</v>
      </c>
      <c r="I15" s="5" t="s">
        <v>120</v>
      </c>
      <c r="J15" s="5" t="s">
        <v>95</v>
      </c>
      <c r="K15" s="5"/>
      <c r="L15" s="5" t="s">
        <v>193</v>
      </c>
    </row>
    <row r="16" customFormat="false" ht="15" hidden="false" customHeight="false" outlineLevel="0" collapsed="false">
      <c r="A16" s="5" t="n">
        <v>15</v>
      </c>
      <c r="B16" s="5" t="s">
        <v>194</v>
      </c>
      <c r="C16" s="5" t="s">
        <v>195</v>
      </c>
      <c r="D16" s="5" t="n">
        <v>1</v>
      </c>
      <c r="E16" s="5" t="s">
        <v>196</v>
      </c>
      <c r="F16" s="5" t="s">
        <v>197</v>
      </c>
      <c r="G16" s="5" t="s">
        <v>198</v>
      </c>
      <c r="H16" s="5" t="s">
        <v>187</v>
      </c>
      <c r="I16" s="5" t="s">
        <v>120</v>
      </c>
      <c r="J16" s="5" t="s">
        <v>100</v>
      </c>
      <c r="K16" s="5" t="n">
        <v>3</v>
      </c>
      <c r="L16" s="5" t="s">
        <v>199</v>
      </c>
    </row>
    <row r="17" customFormat="false" ht="15" hidden="false" customHeight="false" outlineLevel="0" collapsed="false">
      <c r="A17" s="5" t="n">
        <v>16</v>
      </c>
      <c r="B17" s="5" t="s">
        <v>200</v>
      </c>
      <c r="C17" s="5" t="s">
        <v>201</v>
      </c>
      <c r="D17" s="5" t="n">
        <v>1</v>
      </c>
      <c r="E17" s="5" t="s">
        <v>196</v>
      </c>
      <c r="F17" s="5" t="s">
        <v>197</v>
      </c>
      <c r="G17" s="5" t="s">
        <v>202</v>
      </c>
      <c r="H17" s="5" t="s">
        <v>187</v>
      </c>
      <c r="I17" s="5" t="s">
        <v>120</v>
      </c>
      <c r="J17" s="5" t="s">
        <v>100</v>
      </c>
      <c r="K17" s="5" t="n">
        <v>2</v>
      </c>
      <c r="L17" s="5"/>
    </row>
    <row r="18" customFormat="false" ht="15" hidden="false" customHeight="false" outlineLevel="0" collapsed="false">
      <c r="A18" s="5" t="n">
        <v>17</v>
      </c>
      <c r="B18" s="5" t="s">
        <v>203</v>
      </c>
      <c r="C18" s="5" t="s">
        <v>204</v>
      </c>
      <c r="D18" s="5" t="n">
        <v>1</v>
      </c>
      <c r="E18" s="5" t="s">
        <v>196</v>
      </c>
      <c r="F18" s="5" t="s">
        <v>197</v>
      </c>
      <c r="G18" s="5" t="s">
        <v>202</v>
      </c>
      <c r="H18" s="5" t="s">
        <v>187</v>
      </c>
      <c r="I18" s="5" t="s">
        <v>120</v>
      </c>
      <c r="J18" s="5" t="s">
        <v>100</v>
      </c>
      <c r="K18" s="5" t="n">
        <v>2</v>
      </c>
      <c r="L18" s="5"/>
    </row>
    <row r="19" customFormat="false" ht="15" hidden="false" customHeight="false" outlineLevel="0" collapsed="false">
      <c r="A19" s="5" t="n">
        <v>18</v>
      </c>
      <c r="B19" s="5" t="s">
        <v>205</v>
      </c>
      <c r="C19" s="5" t="s">
        <v>206</v>
      </c>
      <c r="D19" s="5" t="n">
        <v>1</v>
      </c>
      <c r="E19" s="5" t="s">
        <v>196</v>
      </c>
      <c r="F19" s="5" t="s">
        <v>197</v>
      </c>
      <c r="G19" s="5" t="s">
        <v>207</v>
      </c>
      <c r="H19" s="5" t="s">
        <v>187</v>
      </c>
      <c r="I19" s="5" t="s">
        <v>120</v>
      </c>
      <c r="J19" s="5" t="s">
        <v>100</v>
      </c>
      <c r="K19" s="5" t="n">
        <v>5</v>
      </c>
      <c r="L19" s="5"/>
    </row>
    <row r="20" customFormat="false" ht="23.85" hidden="false" customHeight="false" outlineLevel="0" collapsed="false">
      <c r="A20" s="5" t="n">
        <v>19</v>
      </c>
      <c r="B20" s="5" t="s">
        <v>208</v>
      </c>
      <c r="C20" s="5" t="s">
        <v>209</v>
      </c>
      <c r="D20" s="5" t="n">
        <v>1</v>
      </c>
      <c r="E20" s="5" t="s">
        <v>196</v>
      </c>
      <c r="F20" s="5" t="s">
        <v>197</v>
      </c>
      <c r="G20" s="5" t="s">
        <v>210</v>
      </c>
      <c r="H20" s="5" t="s">
        <v>187</v>
      </c>
      <c r="I20" s="5" t="s">
        <v>120</v>
      </c>
      <c r="J20" s="5" t="s">
        <v>100</v>
      </c>
      <c r="K20" s="5" t="n">
        <v>16</v>
      </c>
      <c r="L20" s="5"/>
    </row>
    <row r="21" customFormat="false" ht="15" hidden="false" customHeight="false" outlineLevel="0" collapsed="false">
      <c r="A21" s="5" t="n">
        <v>20</v>
      </c>
      <c r="B21" s="5" t="s">
        <v>211</v>
      </c>
      <c r="C21" s="5" t="s">
        <v>212</v>
      </c>
      <c r="D21" s="5" t="n">
        <v>1</v>
      </c>
      <c r="E21" s="5" t="s">
        <v>196</v>
      </c>
      <c r="F21" s="5" t="s">
        <v>197</v>
      </c>
      <c r="G21" s="5" t="s">
        <v>213</v>
      </c>
      <c r="H21" s="5" t="s">
        <v>187</v>
      </c>
      <c r="I21" s="5" t="s">
        <v>120</v>
      </c>
      <c r="J21" s="5" t="s">
        <v>100</v>
      </c>
      <c r="K21" s="5" t="n">
        <v>4</v>
      </c>
      <c r="L21" s="5"/>
    </row>
    <row r="23" customFormat="false" ht="15" hidden="false" customHeight="false" outlineLevel="0" collapsed="false">
      <c r="A23" s="12" t="s">
        <v>214</v>
      </c>
    </row>
    <row r="24" customFormat="false" ht="15" hidden="false" customHeight="false" outlineLevel="0" collapsed="false">
      <c r="A24" s="13" t="s">
        <v>215</v>
      </c>
      <c r="F24" s="13" t="n">
        <f aca="false">SUM(D2:D21)</f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7" min="5" style="0" width="11"/>
    <col collapsed="false" customWidth="true" hidden="false" outlineLevel="0" max="13" min="8" style="0" width="13"/>
    <col collapsed="false" customWidth="true" hidden="false" outlineLevel="0" max="14" min="14" style="0" width="22"/>
  </cols>
  <sheetData>
    <row r="1" customFormat="false" ht="23.85" hidden="false" customHeight="false" outlineLevel="0" collapsed="false">
      <c r="A1" s="4" t="s">
        <v>216</v>
      </c>
      <c r="B1" s="4" t="s">
        <v>104</v>
      </c>
      <c r="C1" s="4" t="s">
        <v>34</v>
      </c>
      <c r="D1" s="4" t="s">
        <v>217</v>
      </c>
      <c r="E1" s="4" t="s">
        <v>218</v>
      </c>
      <c r="F1" s="4" t="s">
        <v>219</v>
      </c>
      <c r="G1" s="4" t="s">
        <v>220</v>
      </c>
      <c r="H1" s="4" t="s">
        <v>221</v>
      </c>
      <c r="I1" s="4" t="s">
        <v>222</v>
      </c>
      <c r="J1" s="4" t="s">
        <v>223</v>
      </c>
      <c r="K1" s="4" t="s">
        <v>224</v>
      </c>
      <c r="L1" s="4" t="s">
        <v>225</v>
      </c>
      <c r="M1" s="4" t="s">
        <v>226</v>
      </c>
      <c r="N1" s="4" t="s">
        <v>227</v>
      </c>
    </row>
    <row r="2" customFormat="false" ht="15" hidden="false" customHeight="false" outlineLevel="0" collapsed="false">
      <c r="A2" s="5" t="n">
        <f aca="false">BOM!A2</f>
        <v>1</v>
      </c>
      <c r="B2" s="5" t="str">
        <f aca="false">BOM!B2</f>
        <v>U1</v>
      </c>
      <c r="C2" s="5" t="str">
        <f aca="false">BOM!J2</f>
        <v>STM32</v>
      </c>
      <c r="D2" s="5" t="n">
        <f aca="false">IF(BOM!K2="",BOM!D2,BOM!D2*BOM!K2)</f>
        <v>1</v>
      </c>
      <c r="E2" s="5" t="n">
        <f aca="false">D2*Supuestos!$B$2</f>
        <v>10</v>
      </c>
      <c r="F2" s="5" t="n">
        <f aca="false">D2*Supuestos!$B$3</f>
        <v>100</v>
      </c>
      <c r="G2" s="5" t="n">
        <f aca="false">D2*Supuestos!$B$4</f>
        <v>1000</v>
      </c>
      <c r="H2" s="14" t="n">
        <f aca="false">IFERROR(INDEX(Precios!$L$2:$R$100,MATCH($C2,Precios!$A$2:$A$100,0),MATCH(E2,INDEX(Precios!$E$2:$K$100,MATCH($C2,Precios!$A$2:$A$100,0),0),1))*INDEX(Precios!$D$2:$D$100,MATCH($C2,Precios!$A$2:$A$100,0)),INDEX(Precios!$L$2:$L$100,MATCH($C2,Precios!$A$2:$A$100,0))*INDEX(Precios!$D$2:$D$100,MATCH($C2,Precios!$A$2:$A$100,0)))</f>
        <v>8.0151</v>
      </c>
      <c r="I2" s="14" t="n">
        <f aca="false">IFERROR(INDEX(Precios!$L$2:$R$100,MATCH($C2,Precios!$A$2:$A$100,0),MATCH(F2,INDEX(Precios!$E$2:$K$100,MATCH($C2,Precios!$A$2:$A$100,0),0),1))*INDEX(Precios!$D$2:$D$100,MATCH($C2,Precios!$A$2:$A$100,0)),INDEX(Precios!$L$2:$L$100,MATCH($C2,Precios!$A$2:$A$100,0))*INDEX(Precios!$D$2:$D$100,MATCH($C2,Precios!$A$2:$A$100,0)))</f>
        <v>6.587</v>
      </c>
      <c r="J2" s="14" t="n">
        <f aca="false">IFERROR(INDEX(Precios!$L$2:$R$100,MATCH($C2,Precios!$A$2:$A$100,0),MATCH(G2,INDEX(Precios!$E$2:$K$100,MATCH($C2,Precios!$A$2:$A$100,0),0),1))*INDEX(Precios!$D$2:$D$100,MATCH($C2,Precios!$A$2:$A$100,0)),INDEX(Precios!$L$2:$L$100,MATCH($C2,Precios!$A$2:$A$100,0))*INDEX(Precios!$D$2:$D$100,MATCH($C2,Precios!$A$2:$A$100,0)))</f>
        <v>6.587</v>
      </c>
      <c r="K2" s="15" t="n">
        <f aca="false">E2*H2</f>
        <v>80.151</v>
      </c>
      <c r="L2" s="15" t="n">
        <f aca="false">F2*I2</f>
        <v>658.7</v>
      </c>
      <c r="M2" s="15" t="n">
        <f aca="false">G2*J2</f>
        <v>6587</v>
      </c>
      <c r="N2" s="5" t="str">
        <f aca="false">INDEX(Precios!$S$2:$S$100,MATCH($C2,Precios!$A$2:$A$100,0))</f>
        <v>Cotizado</v>
      </c>
    </row>
    <row r="3" customFormat="false" ht="15" hidden="false" customHeight="false" outlineLevel="0" collapsed="false">
      <c r="A3" s="5" t="n">
        <f aca="false">BOM!A3</f>
        <v>2</v>
      </c>
      <c r="B3" s="5" t="str">
        <f aca="false">BOM!B3</f>
        <v>*1</v>
      </c>
      <c r="C3" s="5" t="str">
        <f aca="false">BOM!J3</f>
        <v>EMMC</v>
      </c>
      <c r="D3" s="5" t="n">
        <f aca="false">IF(BOM!K3="",BOM!D3,BOM!D3*BOM!K3)</f>
        <v>1</v>
      </c>
      <c r="E3" s="5" t="n">
        <f aca="false">D3*Supuestos!$B$2</f>
        <v>10</v>
      </c>
      <c r="F3" s="5" t="n">
        <f aca="false">D3*Supuestos!$B$3</f>
        <v>100</v>
      </c>
      <c r="G3" s="5" t="n">
        <f aca="false">D3*Supuestos!$B$4</f>
        <v>1000</v>
      </c>
      <c r="H3" s="14" t="n">
        <f aca="false">IFERROR(INDEX(Precios!$L$2:$R$100,MATCH($C3,Precios!$A$2:$A$100,0),MATCH(E3,INDEX(Precios!$E$2:$K$100,MATCH($C3,Precios!$A$2:$A$100,0),0),1))*INDEX(Precios!$D$2:$D$100,MATCH($C3,Precios!$A$2:$A$100,0)),INDEX(Precios!$L$2:$L$100,MATCH($C3,Precios!$A$2:$A$100,0))*INDEX(Precios!$D$2:$D$100,MATCH($C3,Precios!$A$2:$A$100,0)))</f>
        <v>4.6209</v>
      </c>
      <c r="I3" s="14" t="n">
        <f aca="false">IFERROR(INDEX(Precios!$L$2:$R$100,MATCH($C3,Precios!$A$2:$A$100,0),MATCH(F3,INDEX(Precios!$E$2:$K$100,MATCH($C3,Precios!$A$2:$A$100,0),0),1))*INDEX(Precios!$D$2:$D$100,MATCH($C3,Precios!$A$2:$A$100,0)),INDEX(Precios!$L$2:$L$100,MATCH($C3,Precios!$A$2:$A$100,0))*INDEX(Precios!$D$2:$D$100,MATCH($C3,Precios!$A$2:$A$100,0)))</f>
        <v>4.2064</v>
      </c>
      <c r="J3" s="14" t="n">
        <f aca="false">IFERROR(INDEX(Precios!$L$2:$R$100,MATCH($C3,Precios!$A$2:$A$100,0),MATCH(G3,INDEX(Precios!$E$2:$K$100,MATCH($C3,Precios!$A$2:$A$100,0),0),1))*INDEX(Precios!$D$2:$D$100,MATCH($C3,Precios!$A$2:$A$100,0)),INDEX(Precios!$L$2:$L$100,MATCH($C3,Precios!$A$2:$A$100,0))*INDEX(Precios!$D$2:$D$100,MATCH($C3,Precios!$A$2:$A$100,0)))</f>
        <v>3.5938</v>
      </c>
      <c r="K3" s="15" t="n">
        <f aca="false">E3*H3</f>
        <v>46.209</v>
      </c>
      <c r="L3" s="15" t="n">
        <f aca="false">F3*I3</f>
        <v>420.64</v>
      </c>
      <c r="M3" s="15" t="n">
        <f aca="false">G3*J3</f>
        <v>3593.8</v>
      </c>
      <c r="N3" s="5" t="str">
        <f aca="false">INDEX(Precios!$S$2:$S$100,MATCH($C3,Precios!$A$2:$A$100,0))</f>
        <v>Cotizado (sin stock)</v>
      </c>
    </row>
    <row r="4" customFormat="false" ht="15" hidden="false" customHeight="false" outlineLevel="0" collapsed="false">
      <c r="A4" s="5" t="n">
        <f aca="false">BOM!A4</f>
        <v>3</v>
      </c>
      <c r="B4" s="5" t="str">
        <f aca="false">BOM!B4</f>
        <v>U2</v>
      </c>
      <c r="C4" s="5" t="str">
        <f aca="false">BOM!J4</f>
        <v>SDRAM</v>
      </c>
      <c r="D4" s="5" t="n">
        <f aca="false">IF(BOM!K4="",BOM!D4,BOM!D4*BOM!K4)</f>
        <v>1</v>
      </c>
      <c r="E4" s="5" t="n">
        <f aca="false">D4*Supuestos!$B$2</f>
        <v>10</v>
      </c>
      <c r="F4" s="5" t="n">
        <f aca="false">D4*Supuestos!$B$3</f>
        <v>100</v>
      </c>
      <c r="G4" s="5" t="n">
        <f aca="false">D4*Supuestos!$B$4</f>
        <v>1000</v>
      </c>
      <c r="H4" s="14" t="n">
        <f aca="false">IFERROR(INDEX(Precios!$L$2:$R$100,MATCH($C4,Precios!$A$2:$A$100,0),MATCH(E4,INDEX(Precios!$E$2:$K$100,MATCH($C4,Precios!$A$2:$A$100,0),0),1))*INDEX(Precios!$D$2:$D$100,MATCH($C4,Precios!$A$2:$A$100,0)),INDEX(Precios!$L$2:$L$100,MATCH($C4,Precios!$A$2:$A$100,0))*INDEX(Precios!$D$2:$D$100,MATCH($C4,Precios!$A$2:$A$100,0)))</f>
        <v>4.8816</v>
      </c>
      <c r="I4" s="14" t="n">
        <f aca="false">IFERROR(INDEX(Precios!$L$2:$R$100,MATCH($C4,Precios!$A$2:$A$100,0),MATCH(F4,INDEX(Precios!$E$2:$K$100,MATCH($C4,Precios!$A$2:$A$100,0),0),1))*INDEX(Precios!$D$2:$D$100,MATCH($C4,Precios!$A$2:$A$100,0)),INDEX(Precios!$L$2:$L$100,MATCH($C4,Precios!$A$2:$A$100,0))*INDEX(Precios!$D$2:$D$100,MATCH($C4,Precios!$A$2:$A$100,0)))</f>
        <v>4.8816</v>
      </c>
      <c r="J4" s="14" t="n">
        <f aca="false">IFERROR(INDEX(Precios!$L$2:$R$100,MATCH($C4,Precios!$A$2:$A$100,0),MATCH(G4,INDEX(Precios!$E$2:$K$100,MATCH($C4,Precios!$A$2:$A$100,0),0),1))*INDEX(Precios!$D$2:$D$100,MATCH($C4,Precios!$A$2:$A$100,0)),INDEX(Precios!$L$2:$L$100,MATCH($C4,Precios!$A$2:$A$100,0))*INDEX(Precios!$D$2:$D$100,MATCH($C4,Precios!$A$2:$A$100,0)))</f>
        <v>4.8816</v>
      </c>
      <c r="K4" s="15" t="n">
        <f aca="false">E4*H4</f>
        <v>48.816</v>
      </c>
      <c r="L4" s="15" t="n">
        <f aca="false">F4*I4</f>
        <v>488.16</v>
      </c>
      <c r="M4" s="15" t="n">
        <f aca="false">G4*J4</f>
        <v>4881.6</v>
      </c>
      <c r="N4" s="5" t="str">
        <f aca="false">INDEX(Precios!$S$2:$S$100,MATCH($C4,Precios!$A$2:$A$100,0))</f>
        <v>ESTIMADO</v>
      </c>
    </row>
    <row r="5" customFormat="false" ht="15" hidden="false" customHeight="false" outlineLevel="0" collapsed="false">
      <c r="A5" s="5" t="n">
        <f aca="false">BOM!A5</f>
        <v>4</v>
      </c>
      <c r="B5" s="5" t="str">
        <f aca="false">BOM!B5</f>
        <v>U3</v>
      </c>
      <c r="C5" s="5" t="str">
        <f aca="false">BOM!J5</f>
        <v>ISO</v>
      </c>
      <c r="D5" s="5" t="n">
        <f aca="false">IF(BOM!K5="",BOM!D5,BOM!D5*BOM!K5)</f>
        <v>1</v>
      </c>
      <c r="E5" s="5" t="n">
        <f aca="false">D5*Supuestos!$B$2</f>
        <v>10</v>
      </c>
      <c r="F5" s="5" t="n">
        <f aca="false">D5*Supuestos!$B$3</f>
        <v>100</v>
      </c>
      <c r="G5" s="5" t="n">
        <f aca="false">D5*Supuestos!$B$4</f>
        <v>1000</v>
      </c>
      <c r="H5" s="14" t="n">
        <f aca="false">IFERROR(INDEX(Precios!$L$2:$R$100,MATCH($C5,Precios!$A$2:$A$100,0),MATCH(E5,INDEX(Precios!$E$2:$K$100,MATCH($C5,Precios!$A$2:$A$100,0),0),1))*INDEX(Precios!$D$2:$D$100,MATCH($C5,Precios!$A$2:$A$100,0)),INDEX(Precios!$L$2:$L$100,MATCH($C5,Precios!$A$2:$A$100,0))*INDEX(Precios!$D$2:$D$100,MATCH($C5,Precios!$A$2:$A$100,0)))</f>
        <v>0.8819</v>
      </c>
      <c r="I5" s="14" t="n">
        <f aca="false">IFERROR(INDEX(Precios!$L$2:$R$100,MATCH($C5,Precios!$A$2:$A$100,0),MATCH(F5,INDEX(Precios!$E$2:$K$100,MATCH($C5,Precios!$A$2:$A$100,0),0),1))*INDEX(Precios!$D$2:$D$100,MATCH($C5,Precios!$A$2:$A$100,0)),INDEX(Precios!$L$2:$L$100,MATCH($C5,Precios!$A$2:$A$100,0))*INDEX(Precios!$D$2:$D$100,MATCH($C5,Precios!$A$2:$A$100,0)))</f>
        <v>0.6642</v>
      </c>
      <c r="J5" s="14" t="n">
        <f aca="false">IFERROR(INDEX(Precios!$L$2:$R$100,MATCH($C5,Precios!$A$2:$A$100,0),MATCH(G5,INDEX(Precios!$E$2:$K$100,MATCH($C5,Precios!$A$2:$A$100,0),0),1))*INDEX(Precios!$D$2:$D$100,MATCH($C5,Precios!$A$2:$A$100,0)),INDEX(Precios!$L$2:$L$100,MATCH($C5,Precios!$A$2:$A$100,0))*INDEX(Precios!$D$2:$D$100,MATCH($C5,Precios!$A$2:$A$100,0)))</f>
        <v>0.5901</v>
      </c>
      <c r="K5" s="15" t="n">
        <f aca="false">E5*H5</f>
        <v>8.819</v>
      </c>
      <c r="L5" s="15" t="n">
        <f aca="false">F5*I5</f>
        <v>66.42</v>
      </c>
      <c r="M5" s="15" t="n">
        <f aca="false">G5*J5</f>
        <v>590.1</v>
      </c>
      <c r="N5" s="5" t="str">
        <f aca="false">INDEX(Precios!$S$2:$S$100,MATCH($C5,Precios!$A$2:$A$100,0))</f>
        <v>Cotizado</v>
      </c>
    </row>
    <row r="6" customFormat="false" ht="15" hidden="false" customHeight="false" outlineLevel="0" collapsed="false">
      <c r="A6" s="5" t="n">
        <f aca="false">BOM!A6</f>
        <v>5</v>
      </c>
      <c r="B6" s="5" t="str">
        <f aca="false">BOM!B6</f>
        <v>U4</v>
      </c>
      <c r="C6" s="5" t="str">
        <f aca="false">BOM!J6</f>
        <v>DRV</v>
      </c>
      <c r="D6" s="5" t="n">
        <f aca="false">IF(BOM!K6="",BOM!D6,BOM!D6*BOM!K6)</f>
        <v>1</v>
      </c>
      <c r="E6" s="5" t="n">
        <f aca="false">D6*Supuestos!$B$2</f>
        <v>10</v>
      </c>
      <c r="F6" s="5" t="n">
        <f aca="false">D6*Supuestos!$B$3</f>
        <v>100</v>
      </c>
      <c r="G6" s="5" t="n">
        <f aca="false">D6*Supuestos!$B$4</f>
        <v>1000</v>
      </c>
      <c r="H6" s="14" t="n">
        <f aca="false">IFERROR(INDEX(Precios!$L$2:$R$100,MATCH($C6,Precios!$A$2:$A$100,0),MATCH(E6,INDEX(Precios!$E$2:$K$100,MATCH($C6,Precios!$A$2:$A$100,0),0),1))*INDEX(Precios!$D$2:$D$100,MATCH($C6,Precios!$A$2:$A$100,0)),INDEX(Precios!$L$2:$L$100,MATCH($C6,Precios!$A$2:$A$100,0))*INDEX(Precios!$D$2:$D$100,MATCH($C6,Precios!$A$2:$A$100,0)))</f>
        <v>0.5379</v>
      </c>
      <c r="I6" s="14" t="n">
        <f aca="false">IFERROR(INDEX(Precios!$L$2:$R$100,MATCH($C6,Precios!$A$2:$A$100,0),MATCH(F6,INDEX(Precios!$E$2:$K$100,MATCH($C6,Precios!$A$2:$A$100,0),0),1))*INDEX(Precios!$D$2:$D$100,MATCH($C6,Precios!$A$2:$A$100,0)),INDEX(Precios!$L$2:$L$100,MATCH($C6,Precios!$A$2:$A$100,0))*INDEX(Precios!$D$2:$D$100,MATCH($C6,Precios!$A$2:$A$100,0)))</f>
        <v>0.4006</v>
      </c>
      <c r="J6" s="14" t="n">
        <f aca="false">IFERROR(INDEX(Precios!$L$2:$R$100,MATCH($C6,Precios!$A$2:$A$100,0),MATCH(G6,INDEX(Precios!$E$2:$K$100,MATCH($C6,Precios!$A$2:$A$100,0),0),1))*INDEX(Precios!$D$2:$D$100,MATCH($C6,Precios!$A$2:$A$100,0)),INDEX(Precios!$L$2:$L$100,MATCH($C6,Precios!$A$2:$A$100,0))*INDEX(Precios!$D$2:$D$100,MATCH($C6,Precios!$A$2:$A$100,0)))</f>
        <v>0.3511</v>
      </c>
      <c r="K6" s="15" t="n">
        <f aca="false">E6*H6</f>
        <v>5.379</v>
      </c>
      <c r="L6" s="15" t="n">
        <f aca="false">F6*I6</f>
        <v>40.06</v>
      </c>
      <c r="M6" s="15" t="n">
        <f aca="false">G6*J6</f>
        <v>351.1</v>
      </c>
      <c r="N6" s="5" t="str">
        <f aca="false">INDEX(Precios!$S$2:$S$100,MATCH($C6,Precios!$A$2:$A$100,0))</f>
        <v>Cotizado</v>
      </c>
    </row>
    <row r="7" customFormat="false" ht="15" hidden="false" customHeight="false" outlineLevel="0" collapsed="false">
      <c r="A7" s="5" t="n">
        <f aca="false">BOM!A7</f>
        <v>6</v>
      </c>
      <c r="B7" s="5" t="str">
        <f aca="false">BOM!B7</f>
        <v>Y1</v>
      </c>
      <c r="C7" s="5" t="str">
        <f aca="false">BOM!J7</f>
        <v>XTAL</v>
      </c>
      <c r="D7" s="5" t="n">
        <f aca="false">IF(BOM!K7="",BOM!D7,BOM!D7*BOM!K7)</f>
        <v>1</v>
      </c>
      <c r="E7" s="5" t="n">
        <f aca="false">D7*Supuestos!$B$2</f>
        <v>10</v>
      </c>
      <c r="F7" s="5" t="n">
        <f aca="false">D7*Supuestos!$B$3</f>
        <v>100</v>
      </c>
      <c r="G7" s="5" t="n">
        <f aca="false">D7*Supuestos!$B$4</f>
        <v>1000</v>
      </c>
      <c r="H7" s="14" t="n">
        <f aca="false">IFERROR(INDEX(Precios!$L$2:$R$100,MATCH($C7,Precios!$A$2:$A$100,0),MATCH(E7,INDEX(Precios!$E$2:$K$100,MATCH($C7,Precios!$A$2:$A$100,0),0),1))*INDEX(Precios!$D$2:$D$100,MATCH($C7,Precios!$A$2:$A$100,0)),INDEX(Precios!$L$2:$L$100,MATCH($C7,Precios!$A$2:$A$100,0))*INDEX(Precios!$D$2:$D$100,MATCH($C7,Precios!$A$2:$A$100,0)))</f>
        <v>0.5644</v>
      </c>
      <c r="I7" s="14" t="n">
        <f aca="false">IFERROR(INDEX(Precios!$L$2:$R$100,MATCH($C7,Precios!$A$2:$A$100,0),MATCH(F7,INDEX(Precios!$E$2:$K$100,MATCH($C7,Precios!$A$2:$A$100,0),0),1))*INDEX(Precios!$D$2:$D$100,MATCH($C7,Precios!$A$2:$A$100,0)),INDEX(Precios!$L$2:$L$100,MATCH($C7,Precios!$A$2:$A$100,0))*INDEX(Precios!$D$2:$D$100,MATCH($C7,Precios!$A$2:$A$100,0)))</f>
        <v>0.4321</v>
      </c>
      <c r="J7" s="14" t="n">
        <f aca="false">IFERROR(INDEX(Precios!$L$2:$R$100,MATCH($C7,Precios!$A$2:$A$100,0),MATCH(G7,INDEX(Precios!$E$2:$K$100,MATCH($C7,Precios!$A$2:$A$100,0),0),1))*INDEX(Precios!$D$2:$D$100,MATCH($C7,Precios!$A$2:$A$100,0)),INDEX(Precios!$L$2:$L$100,MATCH($C7,Precios!$A$2:$A$100,0))*INDEX(Precios!$D$2:$D$100,MATCH($C7,Precios!$A$2:$A$100,0)))</f>
        <v>0.4321</v>
      </c>
      <c r="K7" s="15" t="n">
        <f aca="false">E7*H7</f>
        <v>5.644</v>
      </c>
      <c r="L7" s="15" t="n">
        <f aca="false">F7*I7</f>
        <v>43.21</v>
      </c>
      <c r="M7" s="15" t="n">
        <f aca="false">G7*J7</f>
        <v>432.1</v>
      </c>
      <c r="N7" s="5" t="str">
        <f aca="false">INDEX(Precios!$S$2:$S$100,MATCH($C7,Precios!$A$2:$A$100,0))</f>
        <v>ESTIMADO (variante)</v>
      </c>
    </row>
    <row r="8" customFormat="false" ht="15" hidden="false" customHeight="false" outlineLevel="0" collapsed="false">
      <c r="A8" s="5" t="n">
        <f aca="false">BOM!A8</f>
        <v>7</v>
      </c>
      <c r="B8" s="5" t="str">
        <f aca="false">BOM!B8</f>
        <v>C1, C6</v>
      </c>
      <c r="C8" s="5" t="str">
        <f aca="false">BOM!J8</f>
        <v>C100N</v>
      </c>
      <c r="D8" s="5" t="n">
        <f aca="false">IF(BOM!K8="",BOM!D8,BOM!D8*BOM!K8)</f>
        <v>2</v>
      </c>
      <c r="E8" s="5" t="n">
        <f aca="false">D8*Supuestos!$B$2</f>
        <v>20</v>
      </c>
      <c r="F8" s="5" t="n">
        <f aca="false">D8*Supuestos!$B$3</f>
        <v>200</v>
      </c>
      <c r="G8" s="5" t="n">
        <f aca="false">D8*Supuestos!$B$4</f>
        <v>2000</v>
      </c>
      <c r="H8" s="14" t="n">
        <f aca="false">IFERROR(INDEX(Precios!$L$2:$R$100,MATCH($C8,Precios!$A$2:$A$100,0),MATCH(E8,INDEX(Precios!$E$2:$K$100,MATCH($C8,Precios!$A$2:$A$100,0),0),1))*INDEX(Precios!$D$2:$D$100,MATCH($C8,Precios!$A$2:$A$100,0)),INDEX(Precios!$L$2:$L$100,MATCH($C8,Precios!$A$2:$A$100,0))*INDEX(Precios!$D$2:$D$100,MATCH($C8,Precios!$A$2:$A$100,0)))</f>
        <v>0.024</v>
      </c>
      <c r="I8" s="14" t="n">
        <f aca="false">IFERROR(INDEX(Precios!$L$2:$R$100,MATCH($C8,Precios!$A$2:$A$100,0),MATCH(F8,INDEX(Precios!$E$2:$K$100,MATCH($C8,Precios!$A$2:$A$100,0),0),1))*INDEX(Precios!$D$2:$D$100,MATCH($C8,Precios!$A$2:$A$100,0)),INDEX(Precios!$L$2:$L$100,MATCH($C8,Precios!$A$2:$A$100,0))*INDEX(Precios!$D$2:$D$100,MATCH($C8,Precios!$A$2:$A$100,0)))</f>
        <v>0.0132</v>
      </c>
      <c r="J8" s="14" t="n">
        <f aca="false">IFERROR(INDEX(Precios!$L$2:$R$100,MATCH($C8,Precios!$A$2:$A$100,0),MATCH(G8,INDEX(Precios!$E$2:$K$100,MATCH($C8,Precios!$A$2:$A$100,0),0),1))*INDEX(Precios!$D$2:$D$100,MATCH($C8,Precios!$A$2:$A$100,0)),INDEX(Precios!$L$2:$L$100,MATCH($C8,Precios!$A$2:$A$100,0))*INDEX(Precios!$D$2:$D$100,MATCH($C8,Precios!$A$2:$A$100,0)))</f>
        <v>0.008</v>
      </c>
      <c r="K8" s="15" t="n">
        <f aca="false">E8*H8</f>
        <v>0.48</v>
      </c>
      <c r="L8" s="15" t="n">
        <f aca="false">F8*I8</f>
        <v>2.64</v>
      </c>
      <c r="M8" s="15" t="n">
        <f aca="false">G8*J8</f>
        <v>16</v>
      </c>
      <c r="N8" s="5" t="str">
        <f aca="false">INDEX(Precios!$S$2:$S$100,MATCH($C8,Precios!$A$2:$A$100,0))</f>
        <v>Cotizado</v>
      </c>
    </row>
    <row r="9" customFormat="false" ht="15" hidden="false" customHeight="false" outlineLevel="0" collapsed="false">
      <c r="A9" s="5" t="n">
        <f aca="false">BOM!A9</f>
        <v>8</v>
      </c>
      <c r="B9" s="5" t="str">
        <f aca="false">BOM!B9</f>
        <v>R1</v>
      </c>
      <c r="C9" s="5" t="str">
        <f aca="false">BOM!J9</f>
        <v>R10K</v>
      </c>
      <c r="D9" s="5" t="n">
        <f aca="false">IF(BOM!K9="",BOM!D9,BOM!D9*BOM!K9)</f>
        <v>1</v>
      </c>
      <c r="E9" s="5" t="n">
        <f aca="false">D9*Supuestos!$B$2</f>
        <v>10</v>
      </c>
      <c r="F9" s="5" t="n">
        <f aca="false">D9*Supuestos!$B$3</f>
        <v>100</v>
      </c>
      <c r="G9" s="5" t="n">
        <f aca="false">D9*Supuestos!$B$4</f>
        <v>1000</v>
      </c>
      <c r="H9" s="14" t="n">
        <f aca="false">IFERROR(INDEX(Precios!$L$2:$R$100,MATCH($C9,Precios!$A$2:$A$100,0),MATCH(E9,INDEX(Precios!$E$2:$K$100,MATCH($C9,Precios!$A$2:$A$100,0),0),1))*INDEX(Precios!$D$2:$D$100,MATCH($C9,Precios!$A$2:$A$100,0)),INDEX(Precios!$L$2:$L$100,MATCH($C9,Precios!$A$2:$A$100,0))*INDEX(Precios!$D$2:$D$100,MATCH($C9,Precios!$A$2:$A$100,0)))</f>
        <v>0.034</v>
      </c>
      <c r="I9" s="14" t="n">
        <f aca="false">IFERROR(INDEX(Precios!$L$2:$R$100,MATCH($C9,Precios!$A$2:$A$100,0),MATCH(F9,INDEX(Precios!$E$2:$K$100,MATCH($C9,Precios!$A$2:$A$100,0),0),1))*INDEX(Precios!$D$2:$D$100,MATCH($C9,Precios!$A$2:$A$100,0)),INDEX(Precios!$L$2:$L$100,MATCH($C9,Precios!$A$2:$A$100,0))*INDEX(Precios!$D$2:$D$100,MATCH($C9,Precios!$A$2:$A$100,0)))</f>
        <v>0.0256</v>
      </c>
      <c r="J9" s="14" t="n">
        <f aca="false">IFERROR(INDEX(Precios!$L$2:$R$100,MATCH($C9,Precios!$A$2:$A$100,0),MATCH(G9,INDEX(Precios!$E$2:$K$100,MATCH($C9,Precios!$A$2:$A$100,0),0),1))*INDEX(Precios!$D$2:$D$100,MATCH($C9,Precios!$A$2:$A$100,0)),INDEX(Precios!$L$2:$L$100,MATCH($C9,Precios!$A$2:$A$100,0))*INDEX(Precios!$D$2:$D$100,MATCH($C9,Precios!$A$2:$A$100,0)))</f>
        <v>0.0256</v>
      </c>
      <c r="K9" s="15" t="n">
        <f aca="false">E9*H9</f>
        <v>0.34</v>
      </c>
      <c r="L9" s="15" t="n">
        <f aca="false">F9*I9</f>
        <v>2.56</v>
      </c>
      <c r="M9" s="15" t="n">
        <f aca="false">G9*J9</f>
        <v>25.6</v>
      </c>
      <c r="N9" s="5" t="str">
        <f aca="false">INDEX(Precios!$S$2:$S$100,MATCH($C9,Precios!$A$2:$A$100,0))</f>
        <v>Cotizado</v>
      </c>
    </row>
    <row r="10" customFormat="false" ht="15" hidden="false" customHeight="false" outlineLevel="0" collapsed="false">
      <c r="A10" s="5" t="n">
        <f aca="false">BOM!A10</f>
        <v>9</v>
      </c>
      <c r="B10" s="5" t="str">
        <f aca="false">BOM!B10</f>
        <v>R6, R7</v>
      </c>
      <c r="C10" s="5" t="str">
        <f aca="false">BOM!J10</f>
        <v>R_GEN</v>
      </c>
      <c r="D10" s="5" t="n">
        <f aca="false">IF(BOM!K10="",BOM!D10,BOM!D10*BOM!K10)</f>
        <v>2</v>
      </c>
      <c r="E10" s="5" t="n">
        <f aca="false">D10*Supuestos!$B$2</f>
        <v>20</v>
      </c>
      <c r="F10" s="5" t="n">
        <f aca="false">D10*Supuestos!$B$3</f>
        <v>200</v>
      </c>
      <c r="G10" s="5" t="n">
        <f aca="false">D10*Supuestos!$B$4</f>
        <v>2000</v>
      </c>
      <c r="H10" s="14" t="n">
        <f aca="false">IFERROR(INDEX(Precios!$L$2:$R$100,MATCH($C10,Precios!$A$2:$A$100,0),MATCH(E10,INDEX(Precios!$E$2:$K$100,MATCH($C10,Precios!$A$2:$A$100,0),0),1))*INDEX(Precios!$D$2:$D$100,MATCH($C10,Precios!$A$2:$A$100,0)),INDEX(Precios!$L$2:$L$100,MATCH($C10,Precios!$A$2:$A$100,0))*INDEX(Precios!$D$2:$D$100,MATCH($C10,Precios!$A$2:$A$100,0)))</f>
        <v>0.034</v>
      </c>
      <c r="I10" s="14" t="n">
        <f aca="false">IFERROR(INDEX(Precios!$L$2:$R$100,MATCH($C10,Precios!$A$2:$A$100,0),MATCH(F10,INDEX(Precios!$E$2:$K$100,MATCH($C10,Precios!$A$2:$A$100,0),0),1))*INDEX(Precios!$D$2:$D$100,MATCH($C10,Precios!$A$2:$A$100,0)),INDEX(Precios!$L$2:$L$100,MATCH($C10,Precios!$A$2:$A$100,0))*INDEX(Precios!$D$2:$D$100,MATCH($C10,Precios!$A$2:$A$100,0)))</f>
        <v>0.0256</v>
      </c>
      <c r="J10" s="14" t="n">
        <f aca="false">IFERROR(INDEX(Precios!$L$2:$R$100,MATCH($C10,Precios!$A$2:$A$100,0),MATCH(G10,INDEX(Precios!$E$2:$K$100,MATCH($C10,Precios!$A$2:$A$100,0),0),1))*INDEX(Precios!$D$2:$D$100,MATCH($C10,Precios!$A$2:$A$100,0)),INDEX(Precios!$L$2:$L$100,MATCH($C10,Precios!$A$2:$A$100,0))*INDEX(Precios!$D$2:$D$100,MATCH($C10,Precios!$A$2:$A$100,0)))</f>
        <v>0.0256</v>
      </c>
      <c r="K10" s="15" t="n">
        <f aca="false">E10*H10</f>
        <v>0.68</v>
      </c>
      <c r="L10" s="15" t="n">
        <f aca="false">F10*I10</f>
        <v>5.12</v>
      </c>
      <c r="M10" s="15" t="n">
        <f aca="false">G10*J10</f>
        <v>51.2</v>
      </c>
      <c r="N10" s="5" t="str">
        <f aca="false">INDEX(Precios!$S$2:$S$100,MATCH($C10,Precios!$A$2:$A$100,0))</f>
        <v>ESTIMADO (proxy)</v>
      </c>
    </row>
    <row r="11" customFormat="false" ht="15" hidden="false" customHeight="false" outlineLevel="0" collapsed="false">
      <c r="A11" s="5" t="n">
        <f aca="false">BOM!A11</f>
        <v>10</v>
      </c>
      <c r="B11" s="5" t="str">
        <f aca="false">BOM!B11</f>
        <v>R2, R3, R4, R5</v>
      </c>
      <c r="C11" s="5" t="str">
        <f aca="false">BOM!J11</f>
        <v>R_GEN</v>
      </c>
      <c r="D11" s="5" t="n">
        <f aca="false">IF(BOM!K11="",BOM!D11,BOM!D11*BOM!K11)</f>
        <v>4</v>
      </c>
      <c r="E11" s="5" t="n">
        <f aca="false">D11*Supuestos!$B$2</f>
        <v>40</v>
      </c>
      <c r="F11" s="5" t="n">
        <f aca="false">D11*Supuestos!$B$3</f>
        <v>400</v>
      </c>
      <c r="G11" s="5" t="n">
        <f aca="false">D11*Supuestos!$B$4</f>
        <v>4000</v>
      </c>
      <c r="H11" s="14" t="n">
        <f aca="false">IFERROR(INDEX(Precios!$L$2:$R$100,MATCH($C11,Precios!$A$2:$A$100,0),MATCH(E11,INDEX(Precios!$E$2:$K$100,MATCH($C11,Precios!$A$2:$A$100,0),0),1))*INDEX(Precios!$D$2:$D$100,MATCH($C11,Precios!$A$2:$A$100,0)),INDEX(Precios!$L$2:$L$100,MATCH($C11,Precios!$A$2:$A$100,0))*INDEX(Precios!$D$2:$D$100,MATCH($C11,Precios!$A$2:$A$100,0)))</f>
        <v>0.0256</v>
      </c>
      <c r="I11" s="14" t="n">
        <f aca="false">IFERROR(INDEX(Precios!$L$2:$R$100,MATCH($C11,Precios!$A$2:$A$100,0),MATCH(F11,INDEX(Precios!$E$2:$K$100,MATCH($C11,Precios!$A$2:$A$100,0),0),1))*INDEX(Precios!$D$2:$D$100,MATCH($C11,Precios!$A$2:$A$100,0)),INDEX(Precios!$L$2:$L$100,MATCH($C11,Precios!$A$2:$A$100,0))*INDEX(Precios!$D$2:$D$100,MATCH($C11,Precios!$A$2:$A$100,0)))</f>
        <v>0.0256</v>
      </c>
      <c r="J11" s="14" t="n">
        <f aca="false">IFERROR(INDEX(Precios!$L$2:$R$100,MATCH($C11,Precios!$A$2:$A$100,0),MATCH(G11,INDEX(Precios!$E$2:$K$100,MATCH($C11,Precios!$A$2:$A$100,0),0),1))*INDEX(Precios!$D$2:$D$100,MATCH($C11,Precios!$A$2:$A$100,0)),INDEX(Precios!$L$2:$L$100,MATCH($C11,Precios!$A$2:$A$100,0))*INDEX(Precios!$D$2:$D$100,MATCH($C11,Precios!$A$2:$A$100,0)))</f>
        <v>0.0256</v>
      </c>
      <c r="K11" s="15" t="n">
        <f aca="false">E11*H11</f>
        <v>1.024</v>
      </c>
      <c r="L11" s="15" t="n">
        <f aca="false">F11*I11</f>
        <v>10.24</v>
      </c>
      <c r="M11" s="15" t="n">
        <f aca="false">G11*J11</f>
        <v>102.4</v>
      </c>
      <c r="N11" s="5" t="str">
        <f aca="false">INDEX(Precios!$S$2:$S$100,MATCH($C11,Precios!$A$2:$A$100,0))</f>
        <v>ESTIMADO (proxy)</v>
      </c>
    </row>
    <row r="12" customFormat="false" ht="15" hidden="false" customHeight="false" outlineLevel="0" collapsed="false">
      <c r="A12" s="5" t="n">
        <f aca="false">BOM!A12</f>
        <v>11</v>
      </c>
      <c r="B12" s="5" t="str">
        <f aca="false">BOM!B12</f>
        <v>C2, C5</v>
      </c>
      <c r="C12" s="5" t="str">
        <f aca="false">BOM!J12</f>
        <v>C_PF</v>
      </c>
      <c r="D12" s="5" t="n">
        <f aca="false">IF(BOM!K12="",BOM!D12,BOM!D12*BOM!K12)</f>
        <v>2</v>
      </c>
      <c r="E12" s="5" t="n">
        <f aca="false">D12*Supuestos!$B$2</f>
        <v>20</v>
      </c>
      <c r="F12" s="5" t="n">
        <f aca="false">D12*Supuestos!$B$3</f>
        <v>200</v>
      </c>
      <c r="G12" s="5" t="n">
        <f aca="false">D12*Supuestos!$B$4</f>
        <v>2000</v>
      </c>
      <c r="H12" s="14" t="n">
        <f aca="false">IFERROR(INDEX(Precios!$L$2:$R$100,MATCH($C12,Precios!$A$2:$A$100,0),MATCH(E12,INDEX(Precios!$E$2:$K$100,MATCH($C12,Precios!$A$2:$A$100,0),0),1))*INDEX(Precios!$D$2:$D$100,MATCH($C12,Precios!$A$2:$A$100,0)),INDEX(Precios!$L$2:$L$100,MATCH($C12,Precios!$A$2:$A$100,0))*INDEX(Precios!$D$2:$D$100,MATCH($C12,Precios!$A$2:$A$100,0)))</f>
        <v>0.05</v>
      </c>
      <c r="I12" s="14" t="n">
        <f aca="false">IFERROR(INDEX(Precios!$L$2:$R$100,MATCH($C12,Precios!$A$2:$A$100,0),MATCH(F12,INDEX(Precios!$E$2:$K$100,MATCH($C12,Precios!$A$2:$A$100,0),0),1))*INDEX(Precios!$D$2:$D$100,MATCH($C12,Precios!$A$2:$A$100,0)),INDEX(Precios!$L$2:$L$100,MATCH($C12,Precios!$A$2:$A$100,0))*INDEX(Precios!$D$2:$D$100,MATCH($C12,Precios!$A$2:$A$100,0)))</f>
        <v>0.02</v>
      </c>
      <c r="J12" s="14" t="n">
        <f aca="false">IFERROR(INDEX(Precios!$L$2:$R$100,MATCH($C12,Precios!$A$2:$A$100,0),MATCH(G12,INDEX(Precios!$E$2:$K$100,MATCH($C12,Precios!$A$2:$A$100,0),0),1))*INDEX(Precios!$D$2:$D$100,MATCH($C12,Precios!$A$2:$A$100,0)),INDEX(Precios!$L$2:$L$100,MATCH($C12,Precios!$A$2:$A$100,0))*INDEX(Precios!$D$2:$D$100,MATCH($C12,Precios!$A$2:$A$100,0)))</f>
        <v>0.012</v>
      </c>
      <c r="K12" s="15" t="n">
        <f aca="false">E12*H12</f>
        <v>1</v>
      </c>
      <c r="L12" s="15" t="n">
        <f aca="false">F12*I12</f>
        <v>4</v>
      </c>
      <c r="M12" s="15" t="n">
        <f aca="false">G12*J12</f>
        <v>24</v>
      </c>
      <c r="N12" s="5" t="str">
        <f aca="false">INDEX(Precios!$S$2:$S$100,MATCH($C12,Precios!$A$2:$A$100,0))</f>
        <v>ESTIMADO</v>
      </c>
    </row>
    <row r="13" customFormat="false" ht="15" hidden="false" customHeight="false" outlineLevel="0" collapsed="false">
      <c r="A13" s="5" t="n">
        <f aca="false">BOM!A13</f>
        <v>12</v>
      </c>
      <c r="B13" s="5" t="str">
        <f aca="false">BOM!B13</f>
        <v>C3, C4</v>
      </c>
      <c r="C13" s="5" t="str">
        <f aca="false">BOM!J13</f>
        <v>C_2U2</v>
      </c>
      <c r="D13" s="5" t="n">
        <f aca="false">IF(BOM!K13="",BOM!D13,BOM!D13*BOM!K13)</f>
        <v>2</v>
      </c>
      <c r="E13" s="5" t="n">
        <f aca="false">D13*Supuestos!$B$2</f>
        <v>20</v>
      </c>
      <c r="F13" s="5" t="n">
        <f aca="false">D13*Supuestos!$B$3</f>
        <v>200</v>
      </c>
      <c r="G13" s="5" t="n">
        <f aca="false">D13*Supuestos!$B$4</f>
        <v>2000</v>
      </c>
      <c r="H13" s="14" t="n">
        <f aca="false">IFERROR(INDEX(Precios!$L$2:$R$100,MATCH($C13,Precios!$A$2:$A$100,0),MATCH(E13,INDEX(Precios!$E$2:$K$100,MATCH($C13,Precios!$A$2:$A$100,0),0),1))*INDEX(Precios!$D$2:$D$100,MATCH($C13,Precios!$A$2:$A$100,0)),INDEX(Precios!$L$2:$L$100,MATCH($C13,Precios!$A$2:$A$100,0))*INDEX(Precios!$D$2:$D$100,MATCH($C13,Precios!$A$2:$A$100,0)))</f>
        <v>0.1</v>
      </c>
      <c r="I13" s="14" t="n">
        <f aca="false">IFERROR(INDEX(Precios!$L$2:$R$100,MATCH($C13,Precios!$A$2:$A$100,0),MATCH(F13,INDEX(Precios!$E$2:$K$100,MATCH($C13,Precios!$A$2:$A$100,0),0),1))*INDEX(Precios!$D$2:$D$100,MATCH($C13,Precios!$A$2:$A$100,0)),INDEX(Precios!$L$2:$L$100,MATCH($C13,Precios!$A$2:$A$100,0))*INDEX(Precios!$D$2:$D$100,MATCH($C13,Precios!$A$2:$A$100,0)))</f>
        <v>0.05</v>
      </c>
      <c r="J13" s="14" t="n">
        <f aca="false">IFERROR(INDEX(Precios!$L$2:$R$100,MATCH($C13,Precios!$A$2:$A$100,0),MATCH(G13,INDEX(Precios!$E$2:$K$100,MATCH($C13,Precios!$A$2:$A$100,0),0),1))*INDEX(Precios!$D$2:$D$100,MATCH($C13,Precios!$A$2:$A$100,0)),INDEX(Precios!$L$2:$L$100,MATCH($C13,Precios!$A$2:$A$100,0))*INDEX(Precios!$D$2:$D$100,MATCH($C13,Precios!$A$2:$A$100,0)))</f>
        <v>0.03</v>
      </c>
      <c r="K13" s="15" t="n">
        <f aca="false">E13*H13</f>
        <v>2</v>
      </c>
      <c r="L13" s="15" t="n">
        <f aca="false">F13*I13</f>
        <v>10</v>
      </c>
      <c r="M13" s="15" t="n">
        <f aca="false">G13*J13</f>
        <v>60</v>
      </c>
      <c r="N13" s="5" t="str">
        <f aca="false">INDEX(Precios!$S$2:$S$100,MATCH($C13,Precios!$A$2:$A$100,0))</f>
        <v>ESTIMADO</v>
      </c>
    </row>
    <row r="14" customFormat="false" ht="15" hidden="false" customHeight="false" outlineLevel="0" collapsed="false">
      <c r="A14" s="5" t="n">
        <f aca="false">BOM!A14</f>
        <v>13</v>
      </c>
      <c r="B14" s="5" t="str">
        <f aca="false">BOM!B14</f>
        <v>C7</v>
      </c>
      <c r="C14" s="5" t="str">
        <f aca="false">BOM!J14</f>
        <v>C_10U</v>
      </c>
      <c r="D14" s="5" t="n">
        <f aca="false">IF(BOM!K14="",BOM!D14,BOM!D14*BOM!K14)</f>
        <v>1</v>
      </c>
      <c r="E14" s="5" t="n">
        <f aca="false">D14*Supuestos!$B$2</f>
        <v>10</v>
      </c>
      <c r="F14" s="5" t="n">
        <f aca="false">D14*Supuestos!$B$3</f>
        <v>100</v>
      </c>
      <c r="G14" s="5" t="n">
        <f aca="false">D14*Supuestos!$B$4</f>
        <v>1000</v>
      </c>
      <c r="H14" s="14" t="n">
        <f aca="false">IFERROR(INDEX(Precios!$L$2:$R$100,MATCH($C14,Precios!$A$2:$A$100,0),MATCH(E14,INDEX(Precios!$E$2:$K$100,MATCH($C14,Precios!$A$2:$A$100,0),0),1))*INDEX(Precios!$D$2:$D$100,MATCH($C14,Precios!$A$2:$A$100,0)),INDEX(Precios!$L$2:$L$100,MATCH($C14,Precios!$A$2:$A$100,0))*INDEX(Precios!$D$2:$D$100,MATCH($C14,Precios!$A$2:$A$100,0)))</f>
        <v>0.15</v>
      </c>
      <c r="I14" s="14" t="n">
        <f aca="false">IFERROR(INDEX(Precios!$L$2:$R$100,MATCH($C14,Precios!$A$2:$A$100,0),MATCH(F14,INDEX(Precios!$E$2:$K$100,MATCH($C14,Precios!$A$2:$A$100,0),0),1))*INDEX(Precios!$D$2:$D$100,MATCH($C14,Precios!$A$2:$A$100,0)),INDEX(Precios!$L$2:$L$100,MATCH($C14,Precios!$A$2:$A$100,0))*INDEX(Precios!$D$2:$D$100,MATCH($C14,Precios!$A$2:$A$100,0)))</f>
        <v>0.08</v>
      </c>
      <c r="J14" s="14" t="n">
        <f aca="false">IFERROR(INDEX(Precios!$L$2:$R$100,MATCH($C14,Precios!$A$2:$A$100,0),MATCH(G14,INDEX(Precios!$E$2:$K$100,MATCH($C14,Precios!$A$2:$A$100,0),0),1))*INDEX(Precios!$D$2:$D$100,MATCH($C14,Precios!$A$2:$A$100,0)),INDEX(Precios!$L$2:$L$100,MATCH($C14,Precios!$A$2:$A$100,0))*INDEX(Precios!$D$2:$D$100,MATCH($C14,Precios!$A$2:$A$100,0)))</f>
        <v>0.05</v>
      </c>
      <c r="K14" s="15" t="n">
        <f aca="false">E14*H14</f>
        <v>1.5</v>
      </c>
      <c r="L14" s="15" t="n">
        <f aca="false">F14*I14</f>
        <v>8</v>
      </c>
      <c r="M14" s="15" t="n">
        <f aca="false">G14*J14</f>
        <v>50</v>
      </c>
      <c r="N14" s="5" t="str">
        <f aca="false">INDEX(Precios!$S$2:$S$100,MATCH($C14,Precios!$A$2:$A$100,0))</f>
        <v>ESTIMADO</v>
      </c>
    </row>
    <row r="15" customFormat="false" ht="15" hidden="false" customHeight="false" outlineLevel="0" collapsed="false">
      <c r="A15" s="5" t="n">
        <f aca="false">BOM!A15</f>
        <v>14</v>
      </c>
      <c r="B15" s="5" t="str">
        <f aca="false">BOM!B15</f>
        <v>J1</v>
      </c>
      <c r="C15" s="5" t="str">
        <f aca="false">BOM!J15</f>
        <v>J_SWD</v>
      </c>
      <c r="D15" s="5" t="n">
        <f aca="false">IF(BOM!K15="",BOM!D15,BOM!D15*BOM!K15)</f>
        <v>1</v>
      </c>
      <c r="E15" s="5" t="n">
        <f aca="false">D15*Supuestos!$B$2</f>
        <v>10</v>
      </c>
      <c r="F15" s="5" t="n">
        <f aca="false">D15*Supuestos!$B$3</f>
        <v>100</v>
      </c>
      <c r="G15" s="5" t="n">
        <f aca="false">D15*Supuestos!$B$4</f>
        <v>1000</v>
      </c>
      <c r="H15" s="14" t="n">
        <f aca="false">IFERROR(INDEX(Precios!$L$2:$R$100,MATCH($C15,Precios!$A$2:$A$100,0),MATCH(E15,INDEX(Precios!$E$2:$K$100,MATCH($C15,Precios!$A$2:$A$100,0),0),1))*INDEX(Precios!$D$2:$D$100,MATCH($C15,Precios!$A$2:$A$100,0)),INDEX(Precios!$L$2:$L$100,MATCH($C15,Precios!$A$2:$A$100,0))*INDEX(Precios!$D$2:$D$100,MATCH($C15,Precios!$A$2:$A$100,0)))</f>
        <v>0.74459</v>
      </c>
      <c r="I15" s="14" t="n">
        <f aca="false">IFERROR(INDEX(Precios!$L$2:$R$100,MATCH($C15,Precios!$A$2:$A$100,0),MATCH(F15,INDEX(Precios!$E$2:$K$100,MATCH($C15,Precios!$A$2:$A$100,0),0),1))*INDEX(Precios!$D$2:$D$100,MATCH($C15,Precios!$A$2:$A$100,0)),INDEX(Precios!$L$2:$L$100,MATCH($C15,Precios!$A$2:$A$100,0))*INDEX(Precios!$D$2:$D$100,MATCH($C15,Precios!$A$2:$A$100,0)))</f>
        <v>0.74228</v>
      </c>
      <c r="J15" s="14" t="n">
        <f aca="false">IFERROR(INDEX(Precios!$L$2:$R$100,MATCH($C15,Precios!$A$2:$A$100,0),MATCH(G15,INDEX(Precios!$E$2:$K$100,MATCH($C15,Precios!$A$2:$A$100,0),0),1))*INDEX(Precios!$D$2:$D$100,MATCH($C15,Precios!$A$2:$A$100,0)),INDEX(Precios!$L$2:$L$100,MATCH($C15,Precios!$A$2:$A$100,0))*INDEX(Precios!$D$2:$D$100,MATCH($C15,Precios!$A$2:$A$100,0)))</f>
        <v>0.69762</v>
      </c>
      <c r="K15" s="15" t="n">
        <f aca="false">E15*H15</f>
        <v>7.4459</v>
      </c>
      <c r="L15" s="15" t="n">
        <f aca="false">F15*I15</f>
        <v>74.228</v>
      </c>
      <c r="M15" s="15" t="n">
        <f aca="false">G15*J15</f>
        <v>697.62</v>
      </c>
      <c r="N15" s="5" t="str">
        <f aca="false">INDEX(Precios!$S$2:$S$100,MATCH($C15,Precios!$A$2:$A$100,0))</f>
        <v>Cotizado (RS, SGD)</v>
      </c>
    </row>
    <row r="16" customFormat="false" ht="15" hidden="false" customHeight="false" outlineLevel="0" collapsed="false">
      <c r="A16" s="5" t="n">
        <f aca="false">BOM!A16</f>
        <v>15</v>
      </c>
      <c r="B16" s="5" t="str">
        <f aca="false">BOM!B16</f>
        <v>J2 (J_EPS)</v>
      </c>
      <c r="C16" s="5" t="str">
        <f aca="false">BOM!J16</f>
        <v>HDR_PIN</v>
      </c>
      <c r="D16" s="5" t="n">
        <f aca="false">IF(BOM!K16="",BOM!D16,BOM!D16*BOM!K16)</f>
        <v>3</v>
      </c>
      <c r="E16" s="5" t="n">
        <f aca="false">D16*Supuestos!$B$2</f>
        <v>30</v>
      </c>
      <c r="F16" s="5" t="n">
        <f aca="false">D16*Supuestos!$B$3</f>
        <v>300</v>
      </c>
      <c r="G16" s="5" t="n">
        <f aca="false">D16*Supuestos!$B$4</f>
        <v>3000</v>
      </c>
      <c r="H16" s="14" t="n">
        <f aca="false">IFERROR(INDEX(Precios!$L$2:$R$100,MATCH($C16,Precios!$A$2:$A$100,0),MATCH(E16,INDEX(Precios!$E$2:$K$100,MATCH($C16,Precios!$A$2:$A$100,0),0),1))*INDEX(Precios!$D$2:$D$100,MATCH($C16,Precios!$A$2:$A$100,0)),INDEX(Precios!$L$2:$L$100,MATCH($C16,Precios!$A$2:$A$100,0))*INDEX(Precios!$D$2:$D$100,MATCH($C16,Precios!$A$2:$A$100,0)))</f>
        <v>0.08</v>
      </c>
      <c r="I16" s="14" t="n">
        <f aca="false">IFERROR(INDEX(Precios!$L$2:$R$100,MATCH($C16,Precios!$A$2:$A$100,0),MATCH(F16,INDEX(Precios!$E$2:$K$100,MATCH($C16,Precios!$A$2:$A$100,0),0),1))*INDEX(Precios!$D$2:$D$100,MATCH($C16,Precios!$A$2:$A$100,0)),INDEX(Precios!$L$2:$L$100,MATCH($C16,Precios!$A$2:$A$100,0))*INDEX(Precios!$D$2:$D$100,MATCH($C16,Precios!$A$2:$A$100,0)))</f>
        <v>0.05</v>
      </c>
      <c r="J16" s="14" t="n">
        <f aca="false">IFERROR(INDEX(Precios!$L$2:$R$100,MATCH($C16,Precios!$A$2:$A$100,0),MATCH(G16,INDEX(Precios!$E$2:$K$100,MATCH($C16,Precios!$A$2:$A$100,0),0),1))*INDEX(Precios!$D$2:$D$100,MATCH($C16,Precios!$A$2:$A$100,0)),INDEX(Precios!$L$2:$L$100,MATCH($C16,Precios!$A$2:$A$100,0))*INDEX(Precios!$D$2:$D$100,MATCH($C16,Precios!$A$2:$A$100,0)))</f>
        <v>0.03</v>
      </c>
      <c r="K16" s="15" t="n">
        <f aca="false">E16*H16</f>
        <v>2.4</v>
      </c>
      <c r="L16" s="15" t="n">
        <f aca="false">F16*I16</f>
        <v>15</v>
      </c>
      <c r="M16" s="15" t="n">
        <f aca="false">G16*J16</f>
        <v>90</v>
      </c>
      <c r="N16" s="5" t="str">
        <f aca="false">INDEX(Precios!$S$2:$S$100,MATCH($C16,Precios!$A$2:$A$100,0))</f>
        <v>ESTIMADO</v>
      </c>
    </row>
    <row r="17" customFormat="false" ht="15" hidden="false" customHeight="false" outlineLevel="0" collapsed="false">
      <c r="A17" s="5" t="n">
        <f aca="false">BOM!A17</f>
        <v>16</v>
      </c>
      <c r="B17" s="5" t="str">
        <f aca="false">BOM!B17</f>
        <v>J3 (J_COIL_X)</v>
      </c>
      <c r="C17" s="5" t="str">
        <f aca="false">BOM!J17</f>
        <v>HDR_PIN</v>
      </c>
      <c r="D17" s="5" t="n">
        <f aca="false">IF(BOM!K17="",BOM!D17,BOM!D17*BOM!K17)</f>
        <v>2</v>
      </c>
      <c r="E17" s="5" t="n">
        <f aca="false">D17*Supuestos!$B$2</f>
        <v>20</v>
      </c>
      <c r="F17" s="5" t="n">
        <f aca="false">D17*Supuestos!$B$3</f>
        <v>200</v>
      </c>
      <c r="G17" s="5" t="n">
        <f aca="false">D17*Supuestos!$B$4</f>
        <v>2000</v>
      </c>
      <c r="H17" s="14" t="n">
        <f aca="false">IFERROR(INDEX(Precios!$L$2:$R$100,MATCH($C17,Precios!$A$2:$A$100,0),MATCH(E17,INDEX(Precios!$E$2:$K$100,MATCH($C17,Precios!$A$2:$A$100,0),0),1))*INDEX(Precios!$D$2:$D$100,MATCH($C17,Precios!$A$2:$A$100,0)),INDEX(Precios!$L$2:$L$100,MATCH($C17,Precios!$A$2:$A$100,0))*INDEX(Precios!$D$2:$D$100,MATCH($C17,Precios!$A$2:$A$100,0)))</f>
        <v>0.08</v>
      </c>
      <c r="I17" s="14" t="n">
        <f aca="false">IFERROR(INDEX(Precios!$L$2:$R$100,MATCH($C17,Precios!$A$2:$A$100,0),MATCH(F17,INDEX(Precios!$E$2:$K$100,MATCH($C17,Precios!$A$2:$A$100,0),0),1))*INDEX(Precios!$D$2:$D$100,MATCH($C17,Precios!$A$2:$A$100,0)),INDEX(Precios!$L$2:$L$100,MATCH($C17,Precios!$A$2:$A$100,0))*INDEX(Precios!$D$2:$D$100,MATCH($C17,Precios!$A$2:$A$100,0)))</f>
        <v>0.05</v>
      </c>
      <c r="J17" s="14" t="n">
        <f aca="false">IFERROR(INDEX(Precios!$L$2:$R$100,MATCH($C17,Precios!$A$2:$A$100,0),MATCH(G17,INDEX(Precios!$E$2:$K$100,MATCH($C17,Precios!$A$2:$A$100,0),0),1))*INDEX(Precios!$D$2:$D$100,MATCH($C17,Precios!$A$2:$A$100,0)),INDEX(Precios!$L$2:$L$100,MATCH($C17,Precios!$A$2:$A$100,0))*INDEX(Precios!$D$2:$D$100,MATCH($C17,Precios!$A$2:$A$100,0)))</f>
        <v>0.03</v>
      </c>
      <c r="K17" s="15" t="n">
        <f aca="false">E17*H17</f>
        <v>1.6</v>
      </c>
      <c r="L17" s="15" t="n">
        <f aca="false">F17*I17</f>
        <v>10</v>
      </c>
      <c r="M17" s="15" t="n">
        <f aca="false">G17*J17</f>
        <v>60</v>
      </c>
      <c r="N17" s="5" t="str">
        <f aca="false">INDEX(Precios!$S$2:$S$100,MATCH($C17,Precios!$A$2:$A$100,0))</f>
        <v>ESTIMADO</v>
      </c>
    </row>
    <row r="18" customFormat="false" ht="15" hidden="false" customHeight="false" outlineLevel="0" collapsed="false">
      <c r="A18" s="5" t="n">
        <f aca="false">BOM!A18</f>
        <v>17</v>
      </c>
      <c r="B18" s="5" t="str">
        <f aca="false">BOM!B18</f>
        <v>J4 (J_COIL_Y)</v>
      </c>
      <c r="C18" s="5" t="str">
        <f aca="false">BOM!J18</f>
        <v>HDR_PIN</v>
      </c>
      <c r="D18" s="5" t="n">
        <f aca="false">IF(BOM!K18="",BOM!D18,BOM!D18*BOM!K18)</f>
        <v>2</v>
      </c>
      <c r="E18" s="5" t="n">
        <f aca="false">D18*Supuestos!$B$2</f>
        <v>20</v>
      </c>
      <c r="F18" s="5" t="n">
        <f aca="false">D18*Supuestos!$B$3</f>
        <v>200</v>
      </c>
      <c r="G18" s="5" t="n">
        <f aca="false">D18*Supuestos!$B$4</f>
        <v>2000</v>
      </c>
      <c r="H18" s="14" t="n">
        <f aca="false">IFERROR(INDEX(Precios!$L$2:$R$100,MATCH($C18,Precios!$A$2:$A$100,0),MATCH(E18,INDEX(Precios!$E$2:$K$100,MATCH($C18,Precios!$A$2:$A$100,0),0),1))*INDEX(Precios!$D$2:$D$100,MATCH($C18,Precios!$A$2:$A$100,0)),INDEX(Precios!$L$2:$L$100,MATCH($C18,Precios!$A$2:$A$100,0))*INDEX(Precios!$D$2:$D$100,MATCH($C18,Precios!$A$2:$A$100,0)))</f>
        <v>0.08</v>
      </c>
      <c r="I18" s="14" t="n">
        <f aca="false">IFERROR(INDEX(Precios!$L$2:$R$100,MATCH($C18,Precios!$A$2:$A$100,0),MATCH(F18,INDEX(Precios!$E$2:$K$100,MATCH($C18,Precios!$A$2:$A$100,0),0),1))*INDEX(Precios!$D$2:$D$100,MATCH($C18,Precios!$A$2:$A$100,0)),INDEX(Precios!$L$2:$L$100,MATCH($C18,Precios!$A$2:$A$100,0))*INDEX(Precios!$D$2:$D$100,MATCH($C18,Precios!$A$2:$A$100,0)))</f>
        <v>0.05</v>
      </c>
      <c r="J18" s="14" t="n">
        <f aca="false">IFERROR(INDEX(Precios!$L$2:$R$100,MATCH($C18,Precios!$A$2:$A$100,0),MATCH(G18,INDEX(Precios!$E$2:$K$100,MATCH($C18,Precios!$A$2:$A$100,0),0),1))*INDEX(Precios!$D$2:$D$100,MATCH($C18,Precios!$A$2:$A$100,0)),INDEX(Precios!$L$2:$L$100,MATCH($C18,Precios!$A$2:$A$100,0))*INDEX(Precios!$D$2:$D$100,MATCH($C18,Precios!$A$2:$A$100,0)))</f>
        <v>0.03</v>
      </c>
      <c r="K18" s="15" t="n">
        <f aca="false">E18*H18</f>
        <v>1.6</v>
      </c>
      <c r="L18" s="15" t="n">
        <f aca="false">F18*I18</f>
        <v>10</v>
      </c>
      <c r="M18" s="15" t="n">
        <f aca="false">G18*J18</f>
        <v>60</v>
      </c>
      <c r="N18" s="5" t="str">
        <f aca="false">INDEX(Precios!$S$2:$S$100,MATCH($C18,Precios!$A$2:$A$100,0))</f>
        <v>ESTIMADO</v>
      </c>
    </row>
    <row r="19" customFormat="false" ht="15" hidden="false" customHeight="false" outlineLevel="0" collapsed="false">
      <c r="A19" s="5" t="n">
        <f aca="false">BOM!A19</f>
        <v>18</v>
      </c>
      <c r="B19" s="5" t="str">
        <f aca="false">BOM!B19</f>
        <v>P1 (J_PAYLOAD)</v>
      </c>
      <c r="C19" s="5" t="str">
        <f aca="false">BOM!J19</f>
        <v>HDR_PIN</v>
      </c>
      <c r="D19" s="5" t="n">
        <f aca="false">IF(BOM!K19="",BOM!D19,BOM!D19*BOM!K19)</f>
        <v>5</v>
      </c>
      <c r="E19" s="5" t="n">
        <f aca="false">D19*Supuestos!$B$2</f>
        <v>50</v>
      </c>
      <c r="F19" s="5" t="n">
        <f aca="false">D19*Supuestos!$B$3</f>
        <v>500</v>
      </c>
      <c r="G19" s="5" t="n">
        <f aca="false">D19*Supuestos!$B$4</f>
        <v>5000</v>
      </c>
      <c r="H19" s="14" t="n">
        <f aca="false">IFERROR(INDEX(Precios!$L$2:$R$100,MATCH($C19,Precios!$A$2:$A$100,0),MATCH(E19,INDEX(Precios!$E$2:$K$100,MATCH($C19,Precios!$A$2:$A$100,0),0),1))*INDEX(Precios!$D$2:$D$100,MATCH($C19,Precios!$A$2:$A$100,0)),INDEX(Precios!$L$2:$L$100,MATCH($C19,Precios!$A$2:$A$100,0))*INDEX(Precios!$D$2:$D$100,MATCH($C19,Precios!$A$2:$A$100,0)))</f>
        <v>0.08</v>
      </c>
      <c r="I19" s="14" t="n">
        <f aca="false">IFERROR(INDEX(Precios!$L$2:$R$100,MATCH($C19,Precios!$A$2:$A$100,0),MATCH(F19,INDEX(Precios!$E$2:$K$100,MATCH($C19,Precios!$A$2:$A$100,0),0),1))*INDEX(Precios!$D$2:$D$100,MATCH($C19,Precios!$A$2:$A$100,0)),INDEX(Precios!$L$2:$L$100,MATCH($C19,Precios!$A$2:$A$100,0))*INDEX(Precios!$D$2:$D$100,MATCH($C19,Precios!$A$2:$A$100,0)))</f>
        <v>0.05</v>
      </c>
      <c r="J19" s="14" t="n">
        <f aca="false">IFERROR(INDEX(Precios!$L$2:$R$100,MATCH($C19,Precios!$A$2:$A$100,0),MATCH(G19,INDEX(Precios!$E$2:$K$100,MATCH($C19,Precios!$A$2:$A$100,0),0),1))*INDEX(Precios!$D$2:$D$100,MATCH($C19,Precios!$A$2:$A$100,0)),INDEX(Precios!$L$2:$L$100,MATCH($C19,Precios!$A$2:$A$100,0))*INDEX(Precios!$D$2:$D$100,MATCH($C19,Precios!$A$2:$A$100,0)))</f>
        <v>0.03</v>
      </c>
      <c r="K19" s="15" t="n">
        <f aca="false">E19*H19</f>
        <v>4</v>
      </c>
      <c r="L19" s="15" t="n">
        <f aca="false">F19*I19</f>
        <v>25</v>
      </c>
      <c r="M19" s="15" t="n">
        <f aca="false">G19*J19</f>
        <v>150</v>
      </c>
      <c r="N19" s="5" t="str">
        <f aca="false">INDEX(Precios!$S$2:$S$100,MATCH($C19,Precios!$A$2:$A$100,0))</f>
        <v>ESTIMADO</v>
      </c>
    </row>
    <row r="20" customFormat="false" ht="15" hidden="false" customHeight="false" outlineLevel="0" collapsed="false">
      <c r="A20" s="5" t="n">
        <f aca="false">BOM!A20</f>
        <v>19</v>
      </c>
      <c r="B20" s="5" t="str">
        <f aca="false">BOM!B20</f>
        <v>P2 (J_CAMERA)</v>
      </c>
      <c r="C20" s="5" t="str">
        <f aca="false">BOM!J20</f>
        <v>HDR_PIN</v>
      </c>
      <c r="D20" s="5" t="n">
        <f aca="false">IF(BOM!K20="",BOM!D20,BOM!D20*BOM!K20)</f>
        <v>16</v>
      </c>
      <c r="E20" s="5" t="n">
        <f aca="false">D20*Supuestos!$B$2</f>
        <v>160</v>
      </c>
      <c r="F20" s="5" t="n">
        <f aca="false">D20*Supuestos!$B$3</f>
        <v>1600</v>
      </c>
      <c r="G20" s="5" t="n">
        <f aca="false">D20*Supuestos!$B$4</f>
        <v>16000</v>
      </c>
      <c r="H20" s="14" t="n">
        <f aca="false">IFERROR(INDEX(Precios!$L$2:$R$100,MATCH($C20,Precios!$A$2:$A$100,0),MATCH(E20,INDEX(Precios!$E$2:$K$100,MATCH($C20,Precios!$A$2:$A$100,0),0),1))*INDEX(Precios!$D$2:$D$100,MATCH($C20,Precios!$A$2:$A$100,0)),INDEX(Precios!$L$2:$L$100,MATCH($C20,Precios!$A$2:$A$100,0))*INDEX(Precios!$D$2:$D$100,MATCH($C20,Precios!$A$2:$A$100,0)))</f>
        <v>0.05</v>
      </c>
      <c r="I20" s="14" t="n">
        <f aca="false">IFERROR(INDEX(Precios!$L$2:$R$100,MATCH($C20,Precios!$A$2:$A$100,0),MATCH(F20,INDEX(Precios!$E$2:$K$100,MATCH($C20,Precios!$A$2:$A$100,0),0),1))*INDEX(Precios!$D$2:$D$100,MATCH($C20,Precios!$A$2:$A$100,0)),INDEX(Precios!$L$2:$L$100,MATCH($C20,Precios!$A$2:$A$100,0))*INDEX(Precios!$D$2:$D$100,MATCH($C20,Precios!$A$2:$A$100,0)))</f>
        <v>0.03</v>
      </c>
      <c r="J20" s="14" t="n">
        <f aca="false">IFERROR(INDEX(Precios!$L$2:$R$100,MATCH($C20,Precios!$A$2:$A$100,0),MATCH(G20,INDEX(Precios!$E$2:$K$100,MATCH($C20,Precios!$A$2:$A$100,0),0),1))*INDEX(Precios!$D$2:$D$100,MATCH($C20,Precios!$A$2:$A$100,0)),INDEX(Precios!$L$2:$L$100,MATCH($C20,Precios!$A$2:$A$100,0))*INDEX(Precios!$D$2:$D$100,MATCH($C20,Precios!$A$2:$A$100,0)))</f>
        <v>0.03</v>
      </c>
      <c r="K20" s="15" t="n">
        <f aca="false">E20*H20</f>
        <v>8</v>
      </c>
      <c r="L20" s="15" t="n">
        <f aca="false">F20*I20</f>
        <v>48</v>
      </c>
      <c r="M20" s="15" t="n">
        <f aca="false">G20*J20</f>
        <v>480</v>
      </c>
      <c r="N20" s="5" t="str">
        <f aca="false">INDEX(Precios!$S$2:$S$100,MATCH($C20,Precios!$A$2:$A$100,0))</f>
        <v>ESTIMADO</v>
      </c>
    </row>
    <row r="21" customFormat="false" ht="15" hidden="false" customHeight="false" outlineLevel="0" collapsed="false">
      <c r="A21" s="5" t="n">
        <f aca="false">BOM!A21</f>
        <v>20</v>
      </c>
      <c r="B21" s="5" t="str">
        <f aca="false">BOM!B21</f>
        <v>P3 (J_TELEM)</v>
      </c>
      <c r="C21" s="5" t="str">
        <f aca="false">BOM!J21</f>
        <v>HDR_PIN</v>
      </c>
      <c r="D21" s="5" t="n">
        <f aca="false">IF(BOM!K21="",BOM!D21,BOM!D21*BOM!K21)</f>
        <v>4</v>
      </c>
      <c r="E21" s="5" t="n">
        <f aca="false">D21*Supuestos!$B$2</f>
        <v>40</v>
      </c>
      <c r="F21" s="5" t="n">
        <f aca="false">D21*Supuestos!$B$3</f>
        <v>400</v>
      </c>
      <c r="G21" s="5" t="n">
        <f aca="false">D21*Supuestos!$B$4</f>
        <v>4000</v>
      </c>
      <c r="H21" s="14" t="n">
        <f aca="false">IFERROR(INDEX(Precios!$L$2:$R$100,MATCH($C21,Precios!$A$2:$A$100,0),MATCH(E21,INDEX(Precios!$E$2:$K$100,MATCH($C21,Precios!$A$2:$A$100,0),0),1))*INDEX(Precios!$D$2:$D$100,MATCH($C21,Precios!$A$2:$A$100,0)),INDEX(Precios!$L$2:$L$100,MATCH($C21,Precios!$A$2:$A$100,0))*INDEX(Precios!$D$2:$D$100,MATCH($C21,Precios!$A$2:$A$100,0)))</f>
        <v>0.08</v>
      </c>
      <c r="I21" s="14" t="n">
        <f aca="false">IFERROR(INDEX(Precios!$L$2:$R$100,MATCH($C21,Precios!$A$2:$A$100,0),MATCH(F21,INDEX(Precios!$E$2:$K$100,MATCH($C21,Precios!$A$2:$A$100,0),0),1))*INDEX(Precios!$D$2:$D$100,MATCH($C21,Precios!$A$2:$A$100,0)),INDEX(Precios!$L$2:$L$100,MATCH($C21,Precios!$A$2:$A$100,0))*INDEX(Precios!$D$2:$D$100,MATCH($C21,Precios!$A$2:$A$100,0)))</f>
        <v>0.05</v>
      </c>
      <c r="J21" s="14" t="n">
        <f aca="false">IFERROR(INDEX(Precios!$L$2:$R$100,MATCH($C21,Precios!$A$2:$A$100,0),MATCH(G21,INDEX(Precios!$E$2:$K$100,MATCH($C21,Precios!$A$2:$A$100,0),0),1))*INDEX(Precios!$D$2:$D$100,MATCH($C21,Precios!$A$2:$A$100,0)),INDEX(Precios!$L$2:$L$100,MATCH($C21,Precios!$A$2:$A$100,0))*INDEX(Precios!$D$2:$D$100,MATCH($C21,Precios!$A$2:$A$100,0)))</f>
        <v>0.03</v>
      </c>
      <c r="K21" s="15" t="n">
        <f aca="false">E21*H21</f>
        <v>3.2</v>
      </c>
      <c r="L21" s="15" t="n">
        <f aca="false">F21*I21</f>
        <v>20</v>
      </c>
      <c r="M21" s="15" t="n">
        <f aca="false">G21*J21</f>
        <v>120</v>
      </c>
      <c r="N21" s="5" t="str">
        <f aca="false">INDEX(Precios!$S$2:$S$100,MATCH($C21,Precios!$A$2:$A$100,0))</f>
        <v>ESTIMADO</v>
      </c>
    </row>
    <row r="23" customFormat="false" ht="15" hidden="false" customHeight="false" outlineLevel="0" collapsed="false">
      <c r="B23" s="13" t="s">
        <v>228</v>
      </c>
      <c r="K23" s="16" t="n">
        <f aca="false">SUM(K2:K21)</f>
        <v>230.2879</v>
      </c>
      <c r="L23" s="16" t="n">
        <f aca="false">SUM(L2:L21)</f>
        <v>1961.978</v>
      </c>
      <c r="M23" s="16" t="n">
        <f aca="false">SUM(M2:M21)</f>
        <v>18422.52</v>
      </c>
    </row>
    <row r="24" customFormat="false" ht="15" hidden="false" customHeight="false" outlineLevel="0" collapsed="false">
      <c r="B24" s="13" t="s">
        <v>229</v>
      </c>
      <c r="K24" s="16" t="n">
        <f aca="false">K23/Supuestos!$B$2</f>
        <v>23.02879</v>
      </c>
      <c r="L24" s="16" t="n">
        <f aca="false">L23/Supuestos!$B$3</f>
        <v>19.61978</v>
      </c>
      <c r="M24" s="16" t="n">
        <f aca="false">M23/Supuestos!$B$4</f>
        <v>18.42252</v>
      </c>
    </row>
    <row r="25" customFormat="false" ht="15" hidden="false" customHeight="false" outlineLevel="0" collapsed="false">
      <c r="B25" s="17" t="s">
        <v>230</v>
      </c>
      <c r="K25" s="18" t="n">
        <f aca="false">SUMPRODUCT((LEFT($N$2:$N$21,8)="ESTIMADO")*K2:K21)/K23</f>
        <v>0.353748503503658</v>
      </c>
      <c r="L25" s="18" t="n">
        <f aca="false">SUMPRODUCT((LEFT($N$2:$N$21,8)="ESTIMADO")*L2:L21)/L23</f>
        <v>0.355116112413085</v>
      </c>
      <c r="M25" s="18" t="n">
        <f aca="false">SUMPRODUCT((LEFT($N$2:$N$21,8)="ESTIMADO")*M2:M21)/M23</f>
        <v>0.356156486734714</v>
      </c>
    </row>
    <row r="28" customFormat="false" ht="46.25" hidden="false" customHeight="false" outlineLevel="0" collapsed="false">
      <c r="B28" s="19" t="s">
        <v>231</v>
      </c>
      <c r="C28" s="19" t="s">
        <v>232</v>
      </c>
      <c r="D28" s="19" t="s">
        <v>229</v>
      </c>
      <c r="E28" s="19" t="s">
        <v>114</v>
      </c>
    </row>
    <row r="29" customFormat="false" ht="15" hidden="false" customHeight="false" outlineLevel="0" collapsed="false">
      <c r="B29" s="20" t="n">
        <f aca="false">Supuestos!$B$2</f>
        <v>10</v>
      </c>
      <c r="C29" s="21" t="n">
        <f aca="false">K23</f>
        <v>230.2879</v>
      </c>
      <c r="D29" s="21" t="n">
        <f aca="false">K24</f>
        <v>23.02879</v>
      </c>
      <c r="E29" s="20" t="s">
        <v>233</v>
      </c>
    </row>
    <row r="30" customFormat="false" ht="15" hidden="false" customHeight="false" outlineLevel="0" collapsed="false">
      <c r="B30" s="20" t="n">
        <f aca="false">Supuestos!$B$3</f>
        <v>100</v>
      </c>
      <c r="C30" s="21" t="n">
        <f aca="false">L23</f>
        <v>1961.978</v>
      </c>
      <c r="D30" s="21" t="n">
        <f aca="false">L24</f>
        <v>19.61978</v>
      </c>
      <c r="E30" s="20" t="s">
        <v>234</v>
      </c>
    </row>
    <row r="31" customFormat="false" ht="15" hidden="false" customHeight="false" outlineLevel="0" collapsed="false">
      <c r="B31" s="20" t="n">
        <f aca="false">Supuestos!$B$4</f>
        <v>1000</v>
      </c>
      <c r="C31" s="21" t="n">
        <f aca="false">M23</f>
        <v>18422.52</v>
      </c>
      <c r="D31" s="21" t="n">
        <f aca="false">M24</f>
        <v>18.42252</v>
      </c>
      <c r="E31" s="20" t="s">
        <v>235</v>
      </c>
    </row>
    <row r="50" customFormat="false" ht="15" hidden="false" customHeight="false" outlineLevel="0" collapsed="false">
      <c r="B50" s="12" t="s">
        <v>236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90"/>
  </cols>
  <sheetData>
    <row r="1" customFormat="false" ht="15" hidden="false" customHeight="false" outlineLevel="0" collapsed="false">
      <c r="A1" s="4" t="s">
        <v>237</v>
      </c>
      <c r="B1" s="4" t="s">
        <v>18</v>
      </c>
      <c r="C1" s="4" t="s">
        <v>19</v>
      </c>
      <c r="D1" s="4" t="s">
        <v>238</v>
      </c>
    </row>
    <row r="2" customFormat="false" ht="15" hidden="false" customHeight="false" outlineLevel="0" collapsed="false">
      <c r="A2" s="22" t="s">
        <v>239</v>
      </c>
      <c r="B2" s="22"/>
      <c r="C2" s="22"/>
      <c r="D2" s="22"/>
    </row>
    <row r="3" customFormat="false" ht="23.85" hidden="false" customHeight="false" outlineLevel="0" collapsed="false">
      <c r="A3" s="23" t="s">
        <v>240</v>
      </c>
      <c r="B3" s="24" t="n">
        <v>18</v>
      </c>
      <c r="C3" s="23" t="s">
        <v>241</v>
      </c>
      <c r="D3" s="23" t="s">
        <v>242</v>
      </c>
    </row>
    <row r="4" customFormat="false" ht="15" hidden="false" customHeight="false" outlineLevel="0" collapsed="false">
      <c r="A4" s="23" t="s">
        <v>243</v>
      </c>
      <c r="B4" s="24" t="n">
        <v>3</v>
      </c>
      <c r="C4" s="23" t="s">
        <v>241</v>
      </c>
      <c r="D4" s="23" t="s">
        <v>244</v>
      </c>
    </row>
    <row r="5" customFormat="false" ht="15" hidden="false" customHeight="false" outlineLevel="0" collapsed="false">
      <c r="A5" s="23" t="s">
        <v>245</v>
      </c>
      <c r="B5" s="23" t="n">
        <f aca="false">2*(B3-B4)</f>
        <v>30</v>
      </c>
      <c r="C5" s="23" t="s">
        <v>241</v>
      </c>
      <c r="D5" s="23" t="s">
        <v>246</v>
      </c>
    </row>
    <row r="6" customFormat="false" ht="15" hidden="false" customHeight="false" outlineLevel="0" collapsed="false">
      <c r="A6" s="23" t="s">
        <v>247</v>
      </c>
      <c r="B6" s="25" t="n">
        <v>16</v>
      </c>
      <c r="C6" s="23" t="s">
        <v>241</v>
      </c>
      <c r="D6" s="23" t="s">
        <v>248</v>
      </c>
    </row>
    <row r="7" customFormat="false" ht="15" hidden="false" customHeight="false" outlineLevel="0" collapsed="false">
      <c r="A7" s="23" t="s">
        <v>249</v>
      </c>
      <c r="B7" s="26" t="n">
        <f aca="false">B6/2+B4</f>
        <v>11</v>
      </c>
      <c r="C7" s="23" t="s">
        <v>241</v>
      </c>
      <c r="D7" s="23" t="s">
        <v>250</v>
      </c>
    </row>
    <row r="8" customFormat="false" ht="23.85" hidden="false" customHeight="false" outlineLevel="0" collapsed="false">
      <c r="A8" s="23" t="s">
        <v>251</v>
      </c>
      <c r="B8" s="26" t="n">
        <f aca="false">B7-B3</f>
        <v>-7</v>
      </c>
      <c r="C8" s="23" t="s">
        <v>241</v>
      </c>
      <c r="D8" s="23" t="s">
        <v>252</v>
      </c>
    </row>
    <row r="9" customFormat="false" ht="15" hidden="false" customHeight="false" outlineLevel="0" collapsed="false">
      <c r="A9" s="23"/>
      <c r="B9" s="26"/>
      <c r="C9" s="23"/>
      <c r="D9" s="23"/>
    </row>
    <row r="10" customFormat="false" ht="15" hidden="false" customHeight="false" outlineLevel="0" collapsed="false">
      <c r="A10" s="22" t="s">
        <v>253</v>
      </c>
      <c r="B10" s="22"/>
      <c r="C10" s="22"/>
      <c r="D10" s="22"/>
    </row>
    <row r="11" customFormat="false" ht="15" hidden="false" customHeight="false" outlineLevel="0" collapsed="false">
      <c r="A11" s="23" t="s">
        <v>254</v>
      </c>
      <c r="B11" s="24" t="n">
        <v>3.3</v>
      </c>
      <c r="C11" s="23" t="s">
        <v>255</v>
      </c>
      <c r="D11" s="23" t="s">
        <v>256</v>
      </c>
    </row>
    <row r="12" customFormat="false" ht="15" hidden="false" customHeight="false" outlineLevel="0" collapsed="false">
      <c r="A12" s="23" t="s">
        <v>257</v>
      </c>
      <c r="B12" s="24" t="n">
        <v>0.4</v>
      </c>
      <c r="C12" s="23" t="s">
        <v>255</v>
      </c>
      <c r="D12" s="23" t="s">
        <v>258</v>
      </c>
    </row>
    <row r="13" customFormat="false" ht="15" hidden="false" customHeight="false" outlineLevel="0" collapsed="false">
      <c r="A13" s="23" t="s">
        <v>259</v>
      </c>
      <c r="B13" s="24" t="n">
        <v>0.003</v>
      </c>
      <c r="C13" s="23" t="s">
        <v>260</v>
      </c>
      <c r="D13" s="23" t="s">
        <v>261</v>
      </c>
    </row>
    <row r="14" customFormat="false" ht="15" hidden="false" customHeight="false" outlineLevel="0" collapsed="false">
      <c r="A14" s="23" t="s">
        <v>262</v>
      </c>
      <c r="B14" s="27" t="n">
        <v>3E-007</v>
      </c>
      <c r="C14" s="23" t="s">
        <v>263</v>
      </c>
      <c r="D14" s="23" t="s">
        <v>264</v>
      </c>
    </row>
    <row r="15" customFormat="false" ht="15" hidden="false" customHeight="false" outlineLevel="0" collapsed="false">
      <c r="A15" s="23" t="s">
        <v>265</v>
      </c>
      <c r="B15" s="27" t="n">
        <v>5E-011</v>
      </c>
      <c r="C15" s="23" t="s">
        <v>266</v>
      </c>
      <c r="D15" s="23" t="s">
        <v>267</v>
      </c>
    </row>
    <row r="16" customFormat="false" ht="15" hidden="false" customHeight="false" outlineLevel="0" collapsed="false">
      <c r="A16" s="23" t="s">
        <v>268</v>
      </c>
      <c r="B16" s="28" t="n">
        <f aca="false">(B11-B12)/B13</f>
        <v>966.666666666667</v>
      </c>
      <c r="C16" s="23" t="s">
        <v>269</v>
      </c>
      <c r="D16" s="23"/>
    </row>
    <row r="17" customFormat="false" ht="15" hidden="false" customHeight="false" outlineLevel="0" collapsed="false">
      <c r="A17" s="23" t="s">
        <v>270</v>
      </c>
      <c r="B17" s="28" t="n">
        <f aca="false">B14/(0.8473*B15)</f>
        <v>7081.31712498525</v>
      </c>
      <c r="C17" s="23" t="s">
        <v>269</v>
      </c>
      <c r="D17" s="23"/>
    </row>
    <row r="18" customFormat="false" ht="15" hidden="false" customHeight="false" outlineLevel="0" collapsed="false">
      <c r="A18" s="23" t="s">
        <v>271</v>
      </c>
      <c r="B18" s="24" t="n">
        <v>4700</v>
      </c>
      <c r="C18" s="23" t="s">
        <v>269</v>
      </c>
      <c r="D18" s="23" t="s">
        <v>272</v>
      </c>
    </row>
    <row r="19" customFormat="false" ht="15" hidden="false" customHeight="false" outlineLevel="0" collapsed="false">
      <c r="A19" s="23" t="s">
        <v>273</v>
      </c>
      <c r="B19" s="23" t="str">
        <f aca="false">IF(AND(B18&gt;=B16,B18&lt;=B17),"CUMPLE","NO CUMPLE")</f>
        <v>CUMPLE</v>
      </c>
      <c r="C19" s="23"/>
      <c r="D19" s="23"/>
    </row>
    <row r="20" customFormat="false" ht="15" hidden="false" customHeight="false" outlineLevel="0" collapsed="false">
      <c r="A20" s="23"/>
      <c r="B20" s="23"/>
      <c r="C20" s="23"/>
      <c r="D20" s="23"/>
    </row>
    <row r="21" customFormat="false" ht="15" hidden="false" customHeight="false" outlineLevel="0" collapsed="false">
      <c r="A21" s="22" t="s">
        <v>274</v>
      </c>
      <c r="B21" s="22"/>
      <c r="C21" s="22"/>
      <c r="D21" s="22"/>
    </row>
    <row r="22" customFormat="false" ht="23.85" hidden="false" customHeight="false" outlineLevel="0" collapsed="false">
      <c r="A22" s="23" t="s">
        <v>275</v>
      </c>
      <c r="B22" s="24" t="n">
        <v>1</v>
      </c>
      <c r="C22" s="23" t="s">
        <v>260</v>
      </c>
      <c r="D22" s="23" t="s">
        <v>276</v>
      </c>
    </row>
    <row r="23" customFormat="false" ht="15" hidden="false" customHeight="false" outlineLevel="0" collapsed="false">
      <c r="A23" s="23" t="s">
        <v>277</v>
      </c>
      <c r="B23" s="24" t="n">
        <v>10</v>
      </c>
      <c r="C23" s="23" t="s">
        <v>278</v>
      </c>
      <c r="D23" s="23" t="s">
        <v>279</v>
      </c>
    </row>
    <row r="24" customFormat="false" ht="15" hidden="false" customHeight="false" outlineLevel="0" collapsed="false">
      <c r="A24" s="23" t="s">
        <v>280</v>
      </c>
      <c r="B24" s="24" t="n">
        <v>1</v>
      </c>
      <c r="C24" s="23" t="s">
        <v>281</v>
      </c>
      <c r="D24" s="23" t="s">
        <v>282</v>
      </c>
    </row>
    <row r="25" customFormat="false" ht="15" hidden="false" customHeight="false" outlineLevel="0" collapsed="false">
      <c r="A25" s="23" t="s">
        <v>283</v>
      </c>
      <c r="B25" s="24" t="n">
        <v>0.048</v>
      </c>
      <c r="C25" s="23"/>
      <c r="D25" s="23" t="s">
        <v>284</v>
      </c>
    </row>
    <row r="26" customFormat="false" ht="15" hidden="false" customHeight="false" outlineLevel="0" collapsed="false">
      <c r="A26" s="23" t="s">
        <v>285</v>
      </c>
      <c r="B26" s="26" t="n">
        <f aca="false">(B22/(B25*B23^0.44))^(1/0.725)</f>
        <v>16.2960013472095</v>
      </c>
      <c r="C26" s="23" t="s">
        <v>286</v>
      </c>
      <c r="D26" s="23" t="s">
        <v>284</v>
      </c>
    </row>
    <row r="27" customFormat="false" ht="15" hidden="false" customHeight="false" outlineLevel="0" collapsed="false">
      <c r="A27" s="23" t="s">
        <v>287</v>
      </c>
      <c r="B27" s="26" t="n">
        <f aca="false">B26/(1.378*B24)</f>
        <v>11.8258355204713</v>
      </c>
      <c r="C27" s="23" t="s">
        <v>288</v>
      </c>
      <c r="D27" s="23"/>
    </row>
    <row r="28" customFormat="false" ht="15" hidden="false" customHeight="false" outlineLevel="0" collapsed="false">
      <c r="A28" s="23" t="s">
        <v>289</v>
      </c>
      <c r="B28" s="29" t="n">
        <f aca="false">B27*0.0254</f>
        <v>0.300376222219972</v>
      </c>
      <c r="C28" s="23" t="s">
        <v>290</v>
      </c>
      <c r="D28" s="23" t="s">
        <v>291</v>
      </c>
    </row>
    <row r="29" customFormat="false" ht="15" hidden="false" customHeight="false" outlineLevel="0" collapsed="false">
      <c r="A29" s="23" t="s">
        <v>292</v>
      </c>
      <c r="B29" s="29" t="n">
        <f aca="false">((1.5/(B25*B23^0.44))^(1/0.725))/(1.378*B24)*0.0254</f>
        <v>0.525472564777347</v>
      </c>
      <c r="C29" s="23" t="s">
        <v>290</v>
      </c>
      <c r="D29" s="23"/>
    </row>
    <row r="30" customFormat="false" ht="15" hidden="false" customHeight="false" outlineLevel="0" collapsed="false">
      <c r="A30" s="23"/>
      <c r="B30" s="23"/>
      <c r="C30" s="23"/>
      <c r="D30" s="23"/>
    </row>
    <row r="31" customFormat="false" ht="15" hidden="false" customHeight="false" outlineLevel="0" collapsed="false">
      <c r="A31" s="22" t="s">
        <v>293</v>
      </c>
      <c r="B31" s="22"/>
      <c r="C31" s="22"/>
      <c r="D31" s="22"/>
    </row>
    <row r="32" customFormat="false" ht="15" hidden="false" customHeight="false" outlineLevel="0" collapsed="false">
      <c r="A32" s="23" t="s">
        <v>294</v>
      </c>
      <c r="B32" s="24" t="n">
        <v>0.1</v>
      </c>
      <c r="C32" s="23" t="s">
        <v>260</v>
      </c>
      <c r="D32" s="23" t="s">
        <v>295</v>
      </c>
    </row>
    <row r="33" customFormat="false" ht="15" hidden="false" customHeight="false" outlineLevel="0" collapsed="false">
      <c r="A33" s="23" t="s">
        <v>296</v>
      </c>
      <c r="B33" s="24" t="n">
        <v>0.25</v>
      </c>
      <c r="C33" s="23" t="s">
        <v>260</v>
      </c>
      <c r="D33" s="23" t="s">
        <v>295</v>
      </c>
    </row>
    <row r="34" customFormat="false" ht="15" hidden="false" customHeight="false" outlineLevel="0" collapsed="false">
      <c r="A34" s="23" t="s">
        <v>297</v>
      </c>
      <c r="B34" s="30" t="n">
        <f aca="false">3.3*B32</f>
        <v>0.33</v>
      </c>
      <c r="C34" s="23" t="s">
        <v>298</v>
      </c>
      <c r="D34" s="23" t="s">
        <v>299</v>
      </c>
    </row>
    <row r="35" customFormat="false" ht="15" hidden="false" customHeight="false" outlineLevel="0" collapsed="false">
      <c r="A35" s="23" t="s">
        <v>300</v>
      </c>
      <c r="B35" s="30" t="n">
        <f aca="false">3.3*B33</f>
        <v>0.825</v>
      </c>
      <c r="C35" s="23" t="s">
        <v>298</v>
      </c>
      <c r="D35" s="23" t="s">
        <v>299</v>
      </c>
    </row>
    <row r="36" customFormat="false" ht="23.85" hidden="false" customHeight="false" outlineLevel="0" collapsed="false">
      <c r="A36" s="23" t="s">
        <v>301</v>
      </c>
      <c r="B36" s="23"/>
      <c r="C36" s="23"/>
      <c r="D36" s="23" t="s">
        <v>302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62"/>
    <col collapsed="false" customWidth="true" hidden="false" outlineLevel="0" max="4" min="4" style="0" width="14"/>
    <col collapsed="false" customWidth="true" hidden="false" outlineLevel="0" max="5" min="5" style="0" width="55"/>
    <col collapsed="false" customWidth="true" hidden="false" outlineLevel="0" max="7" min="6" style="0" width="30"/>
    <col collapsed="false" customWidth="true" hidden="false" outlineLevel="0" max="8" min="8" style="0" width="16"/>
  </cols>
  <sheetData>
    <row r="1" customFormat="false" ht="23.85" hidden="false" customHeight="false" outlineLevel="0" collapsed="false">
      <c r="A1" s="4" t="s">
        <v>303</v>
      </c>
      <c r="B1" s="4" t="s">
        <v>304</v>
      </c>
      <c r="C1" s="4" t="s">
        <v>305</v>
      </c>
      <c r="D1" s="4" t="s">
        <v>306</v>
      </c>
      <c r="E1" s="4" t="s">
        <v>307</v>
      </c>
      <c r="F1" s="4" t="s">
        <v>308</v>
      </c>
      <c r="G1" s="4" t="s">
        <v>273</v>
      </c>
      <c r="H1" s="4" t="s">
        <v>52</v>
      </c>
    </row>
    <row r="2" customFormat="false" ht="57.45" hidden="false" customHeight="false" outlineLevel="0" collapsed="false">
      <c r="A2" s="5" t="s">
        <v>309</v>
      </c>
      <c r="B2" s="5" t="s">
        <v>310</v>
      </c>
      <c r="C2" s="5" t="s">
        <v>311</v>
      </c>
      <c r="D2" s="5" t="s">
        <v>312</v>
      </c>
      <c r="E2" s="5" t="s">
        <v>313</v>
      </c>
      <c r="F2" s="5" t="s">
        <v>314</v>
      </c>
      <c r="G2" s="5" t="s">
        <v>315</v>
      </c>
      <c r="H2" s="5" t="s">
        <v>316</v>
      </c>
    </row>
    <row r="3" customFormat="false" ht="46.25" hidden="false" customHeight="false" outlineLevel="0" collapsed="false">
      <c r="A3" s="5" t="s">
        <v>317</v>
      </c>
      <c r="B3" s="5" t="s">
        <v>318</v>
      </c>
      <c r="C3" s="5" t="s">
        <v>319</v>
      </c>
      <c r="D3" s="5" t="s">
        <v>320</v>
      </c>
      <c r="E3" s="5" t="s">
        <v>321</v>
      </c>
      <c r="F3" s="5" t="s">
        <v>322</v>
      </c>
      <c r="G3" s="5" t="s">
        <v>323</v>
      </c>
      <c r="H3" s="5" t="s">
        <v>316</v>
      </c>
    </row>
    <row r="4" customFormat="false" ht="35.05" hidden="false" customHeight="false" outlineLevel="0" collapsed="false">
      <c r="A4" s="5" t="s">
        <v>324</v>
      </c>
      <c r="B4" s="5" t="s">
        <v>318</v>
      </c>
      <c r="C4" s="5" t="s">
        <v>325</v>
      </c>
      <c r="D4" s="5" t="s">
        <v>326</v>
      </c>
      <c r="E4" s="5" t="s">
        <v>327</v>
      </c>
      <c r="F4" s="5" t="s">
        <v>328</v>
      </c>
      <c r="G4" s="5" t="s">
        <v>329</v>
      </c>
      <c r="H4" s="5" t="s">
        <v>316</v>
      </c>
    </row>
    <row r="5" customFormat="false" ht="35.05" hidden="false" customHeight="false" outlineLevel="0" collapsed="false">
      <c r="A5" s="5" t="s">
        <v>330</v>
      </c>
      <c r="B5" s="5" t="s">
        <v>331</v>
      </c>
      <c r="C5" s="5" t="s">
        <v>332</v>
      </c>
      <c r="D5" s="5" t="s">
        <v>333</v>
      </c>
      <c r="E5" s="5" t="s">
        <v>334</v>
      </c>
      <c r="F5" s="5" t="s">
        <v>335</v>
      </c>
      <c r="G5" s="5" t="s">
        <v>336</v>
      </c>
      <c r="H5" s="5" t="s">
        <v>316</v>
      </c>
    </row>
    <row r="6" customFormat="false" ht="46.25" hidden="false" customHeight="false" outlineLevel="0" collapsed="false">
      <c r="A6" s="5" t="s">
        <v>337</v>
      </c>
      <c r="B6" s="5" t="s">
        <v>338</v>
      </c>
      <c r="C6" s="5" t="s">
        <v>339</v>
      </c>
      <c r="D6" s="5" t="s">
        <v>340</v>
      </c>
      <c r="E6" s="5" t="s">
        <v>341</v>
      </c>
      <c r="F6" s="5" t="s">
        <v>342</v>
      </c>
      <c r="G6" s="5" t="s">
        <v>343</v>
      </c>
      <c r="H6" s="5" t="s">
        <v>344</v>
      </c>
    </row>
    <row r="7" customFormat="false" ht="23.85" hidden="false" customHeight="false" outlineLevel="0" collapsed="false">
      <c r="A7" s="5" t="s">
        <v>345</v>
      </c>
      <c r="B7" s="5" t="s">
        <v>346</v>
      </c>
      <c r="C7" s="5" t="s">
        <v>347</v>
      </c>
      <c r="D7" s="5" t="s">
        <v>340</v>
      </c>
      <c r="E7" s="5" t="s">
        <v>348</v>
      </c>
      <c r="F7" s="5" t="s">
        <v>349</v>
      </c>
      <c r="G7" s="5" t="s">
        <v>350</v>
      </c>
      <c r="H7" s="5" t="s">
        <v>316</v>
      </c>
    </row>
    <row r="8" customFormat="false" ht="35.05" hidden="false" customHeight="false" outlineLevel="0" collapsed="false">
      <c r="A8" s="5" t="s">
        <v>351</v>
      </c>
      <c r="B8" s="5" t="s">
        <v>352</v>
      </c>
      <c r="C8" s="5" t="s">
        <v>353</v>
      </c>
      <c r="D8" s="5" t="s">
        <v>333</v>
      </c>
      <c r="E8" s="5" t="s">
        <v>354</v>
      </c>
      <c r="F8" s="5" t="s">
        <v>349</v>
      </c>
      <c r="G8" s="5" t="s">
        <v>355</v>
      </c>
      <c r="H8" s="5" t="s">
        <v>316</v>
      </c>
    </row>
    <row r="9" customFormat="false" ht="23.85" hidden="false" customHeight="false" outlineLevel="0" collapsed="false">
      <c r="A9" s="5" t="s">
        <v>356</v>
      </c>
      <c r="B9" s="5" t="s">
        <v>352</v>
      </c>
      <c r="C9" s="5" t="s">
        <v>357</v>
      </c>
      <c r="D9" s="5" t="s">
        <v>340</v>
      </c>
      <c r="E9" s="5" t="s">
        <v>358</v>
      </c>
      <c r="F9" s="5" t="s">
        <v>359</v>
      </c>
      <c r="G9" s="5" t="s">
        <v>360</v>
      </c>
      <c r="H9" s="5" t="s">
        <v>344</v>
      </c>
    </row>
    <row r="10" customFormat="false" ht="35.05" hidden="false" customHeight="false" outlineLevel="0" collapsed="false">
      <c r="A10" s="5" t="s">
        <v>361</v>
      </c>
      <c r="B10" s="5" t="s">
        <v>362</v>
      </c>
      <c r="C10" s="5" t="s">
        <v>363</v>
      </c>
      <c r="D10" s="5" t="s">
        <v>326</v>
      </c>
      <c r="E10" s="5" t="s">
        <v>364</v>
      </c>
      <c r="F10" s="5" t="s">
        <v>365</v>
      </c>
      <c r="G10" s="5" t="s">
        <v>355</v>
      </c>
      <c r="H10" s="5" t="s">
        <v>316</v>
      </c>
    </row>
    <row r="11" customFormat="false" ht="23.85" hidden="false" customHeight="false" outlineLevel="0" collapsed="false">
      <c r="A11" s="5" t="s">
        <v>366</v>
      </c>
      <c r="B11" s="5" t="s">
        <v>367</v>
      </c>
      <c r="C11" s="5" t="s">
        <v>368</v>
      </c>
      <c r="D11" s="5" t="s">
        <v>369</v>
      </c>
      <c r="E11" s="5" t="s">
        <v>370</v>
      </c>
      <c r="F11" s="5" t="s">
        <v>371</v>
      </c>
      <c r="G11" s="5" t="s">
        <v>369</v>
      </c>
      <c r="H11" s="5" t="s">
        <v>372</v>
      </c>
    </row>
    <row r="12" customFormat="false" ht="35.05" hidden="false" customHeight="false" outlineLevel="0" collapsed="false">
      <c r="A12" s="5" t="s">
        <v>373</v>
      </c>
      <c r="B12" s="5" t="s">
        <v>374</v>
      </c>
      <c r="C12" s="5" t="s">
        <v>375</v>
      </c>
      <c r="D12" s="5" t="s">
        <v>376</v>
      </c>
      <c r="E12" s="5" t="s">
        <v>377</v>
      </c>
      <c r="F12" s="5" t="s">
        <v>378</v>
      </c>
      <c r="G12" s="5" t="s">
        <v>379</v>
      </c>
      <c r="H12" s="5" t="s">
        <v>380</v>
      </c>
    </row>
    <row r="13" customFormat="false" ht="35.05" hidden="false" customHeight="false" outlineLevel="0" collapsed="false">
      <c r="A13" s="5" t="s">
        <v>381</v>
      </c>
      <c r="B13" s="5" t="s">
        <v>382</v>
      </c>
      <c r="C13" s="5" t="s">
        <v>383</v>
      </c>
      <c r="D13" s="5" t="s">
        <v>376</v>
      </c>
      <c r="E13" s="5" t="s">
        <v>384</v>
      </c>
      <c r="F13" s="5" t="s">
        <v>385</v>
      </c>
      <c r="G13" s="5" t="s">
        <v>386</v>
      </c>
      <c r="H13" s="5" t="s">
        <v>380</v>
      </c>
    </row>
    <row r="14" customFormat="false" ht="35.05" hidden="false" customHeight="false" outlineLevel="0" collapsed="false">
      <c r="A14" s="5" t="s">
        <v>387</v>
      </c>
      <c r="B14" s="5" t="s">
        <v>388</v>
      </c>
      <c r="C14" s="5" t="s">
        <v>389</v>
      </c>
      <c r="D14" s="5" t="s">
        <v>390</v>
      </c>
      <c r="E14" s="5" t="s">
        <v>391</v>
      </c>
      <c r="F14" s="5" t="s">
        <v>392</v>
      </c>
      <c r="G14" s="5" t="s">
        <v>393</v>
      </c>
      <c r="H14" s="5" t="s">
        <v>316</v>
      </c>
    </row>
    <row r="15" customFormat="false" ht="23.85" hidden="false" customHeight="false" outlineLevel="0" collapsed="false">
      <c r="A15" s="5" t="s">
        <v>394</v>
      </c>
      <c r="B15" s="5" t="s">
        <v>395</v>
      </c>
      <c r="C15" s="5" t="s">
        <v>396</v>
      </c>
      <c r="D15" s="5" t="s">
        <v>326</v>
      </c>
      <c r="E15" s="5" t="s">
        <v>397</v>
      </c>
      <c r="F15" s="5" t="s">
        <v>398</v>
      </c>
      <c r="G15" s="5" t="s">
        <v>355</v>
      </c>
      <c r="H15" s="5" t="s">
        <v>344</v>
      </c>
    </row>
    <row r="16" customFormat="false" ht="35.05" hidden="false" customHeight="false" outlineLevel="0" collapsed="false">
      <c r="A16" s="5" t="s">
        <v>399</v>
      </c>
      <c r="B16" s="5" t="s">
        <v>400</v>
      </c>
      <c r="C16" s="5" t="s">
        <v>401</v>
      </c>
      <c r="D16" s="5" t="s">
        <v>326</v>
      </c>
      <c r="E16" s="5" t="s">
        <v>402</v>
      </c>
      <c r="F16" s="5" t="s">
        <v>403</v>
      </c>
      <c r="G16" s="5" t="s">
        <v>404</v>
      </c>
      <c r="H16" s="5" t="s">
        <v>405</v>
      </c>
    </row>
    <row r="17" customFormat="false" ht="23.85" hidden="false" customHeight="false" outlineLevel="0" collapsed="false">
      <c r="A17" s="5" t="s">
        <v>406</v>
      </c>
      <c r="B17" s="5" t="s">
        <v>407</v>
      </c>
      <c r="C17" s="5" t="s">
        <v>408</v>
      </c>
      <c r="D17" s="5" t="s">
        <v>409</v>
      </c>
      <c r="E17" s="5" t="s">
        <v>410</v>
      </c>
      <c r="F17" s="5" t="s">
        <v>411</v>
      </c>
      <c r="G17" s="5" t="s">
        <v>412</v>
      </c>
      <c r="H17" s="5" t="s">
        <v>413</v>
      </c>
    </row>
    <row r="18" customFormat="false" ht="57.45" hidden="false" customHeight="false" outlineLevel="0" collapsed="false">
      <c r="A18" s="5" t="s">
        <v>414</v>
      </c>
      <c r="B18" s="5" t="s">
        <v>415</v>
      </c>
      <c r="C18" s="5" t="s">
        <v>416</v>
      </c>
      <c r="D18" s="5" t="s">
        <v>417</v>
      </c>
      <c r="E18" s="5" t="s">
        <v>418</v>
      </c>
      <c r="F18" s="5" t="s">
        <v>419</v>
      </c>
      <c r="G18" s="5" t="s">
        <v>420</v>
      </c>
      <c r="H18" s="5" t="s">
        <v>421</v>
      </c>
    </row>
    <row r="19" customFormat="false" ht="57.45" hidden="false" customHeight="false" outlineLevel="0" collapsed="false">
      <c r="A19" s="5" t="s">
        <v>422</v>
      </c>
      <c r="B19" s="5" t="s">
        <v>423</v>
      </c>
      <c r="C19" s="5" t="s">
        <v>424</v>
      </c>
      <c r="D19" s="5" t="s">
        <v>425</v>
      </c>
      <c r="E19" s="5" t="s">
        <v>426</v>
      </c>
      <c r="F19" s="5" t="s">
        <v>427</v>
      </c>
      <c r="G19" s="5" t="s">
        <v>428</v>
      </c>
      <c r="H19" s="5" t="s">
        <v>429</v>
      </c>
    </row>
    <row r="20" customFormat="false" ht="46.25" hidden="false" customHeight="false" outlineLevel="0" collapsed="false">
      <c r="A20" s="5" t="s">
        <v>430</v>
      </c>
      <c r="B20" s="5" t="s">
        <v>431</v>
      </c>
      <c r="C20" s="5" t="s">
        <v>432</v>
      </c>
      <c r="D20" s="5" t="s">
        <v>433</v>
      </c>
      <c r="E20" s="5" t="s">
        <v>434</v>
      </c>
      <c r="F20" s="5" t="s">
        <v>435</v>
      </c>
      <c r="G20" s="5" t="s">
        <v>436</v>
      </c>
      <c r="H20" s="5" t="s">
        <v>316</v>
      </c>
    </row>
    <row r="21" customFormat="false" ht="46.25" hidden="false" customHeight="false" outlineLevel="0" collapsed="false">
      <c r="A21" s="5" t="s">
        <v>437</v>
      </c>
      <c r="B21" s="5" t="s">
        <v>438</v>
      </c>
      <c r="C21" s="5" t="s">
        <v>439</v>
      </c>
      <c r="D21" s="5" t="s">
        <v>433</v>
      </c>
      <c r="E21" s="5" t="s">
        <v>440</v>
      </c>
      <c r="F21" s="5" t="s">
        <v>441</v>
      </c>
      <c r="G21" s="5" t="s">
        <v>436</v>
      </c>
      <c r="H21" s="5" t="s">
        <v>316</v>
      </c>
    </row>
    <row r="22" customFormat="false" ht="35.05" hidden="false" customHeight="false" outlineLevel="0" collapsed="false">
      <c r="A22" s="5" t="s">
        <v>442</v>
      </c>
      <c r="B22" s="5" t="s">
        <v>443</v>
      </c>
      <c r="C22" s="5" t="s">
        <v>444</v>
      </c>
      <c r="D22" s="5" t="s">
        <v>433</v>
      </c>
      <c r="E22" s="5" t="s">
        <v>445</v>
      </c>
      <c r="F22" s="5" t="s">
        <v>446</v>
      </c>
      <c r="G22" s="5" t="s">
        <v>436</v>
      </c>
      <c r="H22" s="5" t="s">
        <v>447</v>
      </c>
    </row>
    <row r="23" customFormat="false" ht="35.05" hidden="false" customHeight="false" outlineLevel="0" collapsed="false">
      <c r="A23" s="5" t="s">
        <v>448</v>
      </c>
      <c r="B23" s="5" t="s">
        <v>449</v>
      </c>
      <c r="C23" s="5" t="s">
        <v>450</v>
      </c>
      <c r="D23" s="5" t="s">
        <v>433</v>
      </c>
      <c r="E23" s="5" t="s">
        <v>451</v>
      </c>
      <c r="F23" s="5" t="s">
        <v>452</v>
      </c>
      <c r="G23" s="5" t="s">
        <v>436</v>
      </c>
      <c r="H23" s="5" t="s">
        <v>405</v>
      </c>
    </row>
    <row r="24" customFormat="false" ht="35.05" hidden="false" customHeight="false" outlineLevel="0" collapsed="false">
      <c r="A24" s="5" t="s">
        <v>453</v>
      </c>
      <c r="B24" s="5" t="s">
        <v>454</v>
      </c>
      <c r="C24" s="5" t="s">
        <v>455</v>
      </c>
      <c r="D24" s="5" t="s">
        <v>425</v>
      </c>
      <c r="E24" s="5" t="s">
        <v>456</v>
      </c>
      <c r="F24" s="5" t="s">
        <v>457</v>
      </c>
      <c r="G24" s="5" t="s">
        <v>458</v>
      </c>
      <c r="H24" s="5" t="s">
        <v>405</v>
      </c>
    </row>
    <row r="25" customFormat="false" ht="35.05" hidden="false" customHeight="false" outlineLevel="0" collapsed="false">
      <c r="A25" s="5" t="s">
        <v>459</v>
      </c>
      <c r="B25" s="5" t="s">
        <v>460</v>
      </c>
      <c r="C25" s="5" t="s">
        <v>461</v>
      </c>
      <c r="D25" s="5" t="s">
        <v>425</v>
      </c>
      <c r="E25" s="5" t="s">
        <v>462</v>
      </c>
      <c r="F25" s="5" t="s">
        <v>403</v>
      </c>
      <c r="G25" s="5" t="s">
        <v>463</v>
      </c>
      <c r="H25" s="5" t="s">
        <v>405</v>
      </c>
    </row>
    <row r="27" customFormat="false" ht="15" hidden="false" customHeight="false" outlineLevel="0" collapsed="false">
      <c r="A27" s="12" t="s">
        <v>464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4"/>
    <col collapsed="false" customWidth="true" hidden="false" outlineLevel="0" max="4" min="3" style="0" width="50"/>
    <col collapsed="false" customWidth="true" hidden="false" outlineLevel="0" max="5" min="5" style="0" width="55"/>
    <col collapsed="false" customWidth="true" hidden="false" outlineLevel="0" max="6" min="6" style="0" width="22"/>
  </cols>
  <sheetData>
    <row r="1" customFormat="false" ht="15" hidden="false" customHeight="false" outlineLevel="0" collapsed="false">
      <c r="A1" s="4" t="s">
        <v>465</v>
      </c>
      <c r="B1" s="4" t="s">
        <v>466</v>
      </c>
      <c r="C1" s="4" t="s">
        <v>467</v>
      </c>
      <c r="D1" s="4" t="s">
        <v>468</v>
      </c>
      <c r="E1" s="4" t="s">
        <v>469</v>
      </c>
      <c r="F1" s="4" t="s">
        <v>52</v>
      </c>
    </row>
    <row r="2" customFormat="false" ht="35.05" hidden="false" customHeight="false" outlineLevel="0" collapsed="false">
      <c r="A2" s="5" t="s">
        <v>470</v>
      </c>
      <c r="B2" s="5" t="s">
        <v>471</v>
      </c>
      <c r="C2" s="5" t="s">
        <v>472</v>
      </c>
      <c r="D2" s="5" t="s">
        <v>473</v>
      </c>
      <c r="E2" s="5" t="s">
        <v>474</v>
      </c>
      <c r="F2" s="5" t="s">
        <v>475</v>
      </c>
    </row>
    <row r="3" customFormat="false" ht="23.85" hidden="false" customHeight="false" outlineLevel="0" collapsed="false">
      <c r="A3" s="5" t="s">
        <v>470</v>
      </c>
      <c r="B3" s="5" t="s">
        <v>476</v>
      </c>
      <c r="C3" s="5" t="s">
        <v>477</v>
      </c>
      <c r="D3" s="5" t="s">
        <v>478</v>
      </c>
      <c r="E3" s="5" t="s">
        <v>479</v>
      </c>
      <c r="F3" s="5" t="s">
        <v>475</v>
      </c>
    </row>
    <row r="4" customFormat="false" ht="23.85" hidden="false" customHeight="false" outlineLevel="0" collapsed="false">
      <c r="A4" s="5" t="s">
        <v>480</v>
      </c>
      <c r="B4" s="5" t="s">
        <v>471</v>
      </c>
      <c r="C4" s="5" t="s">
        <v>481</v>
      </c>
      <c r="D4" s="5" t="s">
        <v>482</v>
      </c>
      <c r="E4" s="5" t="s">
        <v>483</v>
      </c>
      <c r="F4" s="5" t="s">
        <v>484</v>
      </c>
    </row>
    <row r="5" customFormat="false" ht="46.25" hidden="false" customHeight="false" outlineLevel="0" collapsed="false">
      <c r="A5" s="5" t="s">
        <v>485</v>
      </c>
      <c r="B5" s="5" t="s">
        <v>486</v>
      </c>
      <c r="C5" s="5" t="s">
        <v>487</v>
      </c>
      <c r="D5" s="5" t="s">
        <v>488</v>
      </c>
      <c r="E5" s="5" t="s">
        <v>489</v>
      </c>
      <c r="F5" s="5" t="s">
        <v>490</v>
      </c>
    </row>
    <row r="6" customFormat="false" ht="15" hidden="false" customHeight="false" outlineLevel="0" collapsed="false">
      <c r="A6" s="5"/>
      <c r="B6" s="5" t="s">
        <v>491</v>
      </c>
      <c r="C6" s="5" t="s">
        <v>492</v>
      </c>
      <c r="D6" s="5" t="s">
        <v>493</v>
      </c>
      <c r="E6" s="5" t="s">
        <v>494</v>
      </c>
      <c r="F6" s="5" t="s">
        <v>495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4" min="3" style="0" width="42"/>
    <col collapsed="false" customWidth="true" hidden="false" outlineLevel="0" max="5" min="5" style="0" width="40"/>
    <col collapsed="false" customWidth="true" hidden="false" outlineLevel="0" max="6" min="6" style="0" width="45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4" t="s">
        <v>303</v>
      </c>
      <c r="B1" s="4" t="s">
        <v>496</v>
      </c>
      <c r="C1" s="4" t="s">
        <v>497</v>
      </c>
      <c r="D1" s="4" t="s">
        <v>248</v>
      </c>
      <c r="E1" s="4" t="s">
        <v>498</v>
      </c>
      <c r="F1" s="4" t="s">
        <v>499</v>
      </c>
      <c r="G1" s="4" t="s">
        <v>52</v>
      </c>
    </row>
    <row r="2" customFormat="false" ht="23.85" hidden="false" customHeight="false" outlineLevel="0" collapsed="false">
      <c r="A2" s="5" t="s">
        <v>500</v>
      </c>
      <c r="B2" s="5" t="s">
        <v>501</v>
      </c>
      <c r="C2" s="5" t="s">
        <v>502</v>
      </c>
      <c r="D2" s="5" t="s">
        <v>503</v>
      </c>
      <c r="E2" s="5" t="s">
        <v>504</v>
      </c>
      <c r="F2" s="5" t="s">
        <v>505</v>
      </c>
      <c r="G2" s="5" t="s">
        <v>506</v>
      </c>
    </row>
    <row r="3" customFormat="false" ht="35.05" hidden="false" customHeight="false" outlineLevel="0" collapsed="false">
      <c r="A3" s="5" t="s">
        <v>507</v>
      </c>
      <c r="B3" s="5" t="s">
        <v>508</v>
      </c>
      <c r="C3" s="5" t="s">
        <v>509</v>
      </c>
      <c r="D3" s="5" t="s">
        <v>510</v>
      </c>
      <c r="E3" s="5" t="s">
        <v>511</v>
      </c>
      <c r="F3" s="5" t="s">
        <v>512</v>
      </c>
      <c r="G3" s="5" t="s">
        <v>506</v>
      </c>
    </row>
    <row r="4" customFormat="false" ht="46.25" hidden="false" customHeight="false" outlineLevel="0" collapsed="false">
      <c r="A4" s="5" t="s">
        <v>513</v>
      </c>
      <c r="B4" s="5" t="s">
        <v>514</v>
      </c>
      <c r="C4" s="5" t="s">
        <v>515</v>
      </c>
      <c r="D4" s="5" t="s">
        <v>516</v>
      </c>
      <c r="E4" s="5" t="s">
        <v>517</v>
      </c>
      <c r="F4" s="5" t="s">
        <v>518</v>
      </c>
      <c r="G4" s="5" t="s">
        <v>506</v>
      </c>
    </row>
    <row r="5" customFormat="false" ht="15" hidden="false" customHeight="false" outlineLevel="0" collapsed="false">
      <c r="A5" s="5" t="s">
        <v>519</v>
      </c>
      <c r="B5" s="5" t="s">
        <v>520</v>
      </c>
      <c r="C5" s="5" t="s">
        <v>521</v>
      </c>
      <c r="D5" s="5" t="s">
        <v>522</v>
      </c>
      <c r="E5" s="5" t="s">
        <v>523</v>
      </c>
      <c r="F5" s="5" t="s">
        <v>524</v>
      </c>
      <c r="G5" s="5" t="s">
        <v>506</v>
      </c>
    </row>
    <row r="6" customFormat="false" ht="23.85" hidden="false" customHeight="false" outlineLevel="0" collapsed="false">
      <c r="A6" s="5" t="s">
        <v>525</v>
      </c>
      <c r="B6" s="5" t="s">
        <v>526</v>
      </c>
      <c r="C6" s="5" t="s">
        <v>527</v>
      </c>
      <c r="D6" s="5" t="s">
        <v>528</v>
      </c>
      <c r="E6" s="5" t="s">
        <v>529</v>
      </c>
      <c r="F6" s="5" t="s">
        <v>530</v>
      </c>
      <c r="G6" s="5" t="s">
        <v>531</v>
      </c>
    </row>
    <row r="7" customFormat="false" ht="23.85" hidden="false" customHeight="false" outlineLevel="0" collapsed="false">
      <c r="A7" s="5" t="s">
        <v>532</v>
      </c>
      <c r="B7" s="5" t="s">
        <v>533</v>
      </c>
      <c r="C7" s="5" t="s">
        <v>534</v>
      </c>
      <c r="D7" s="5" t="s">
        <v>535</v>
      </c>
      <c r="E7" s="5" t="s">
        <v>536</v>
      </c>
      <c r="F7" s="5" t="s">
        <v>537</v>
      </c>
      <c r="G7" s="5" t="s">
        <v>506</v>
      </c>
    </row>
    <row r="8" customFormat="false" ht="23.85" hidden="false" customHeight="false" outlineLevel="0" collapsed="false">
      <c r="A8" s="5" t="s">
        <v>538</v>
      </c>
      <c r="B8" s="5" t="s">
        <v>63</v>
      </c>
      <c r="C8" s="5" t="s">
        <v>539</v>
      </c>
      <c r="D8" s="5" t="s">
        <v>540</v>
      </c>
      <c r="E8" s="5" t="s">
        <v>541</v>
      </c>
      <c r="F8" s="5" t="s">
        <v>542</v>
      </c>
      <c r="G8" s="5" t="s">
        <v>543</v>
      </c>
    </row>
    <row r="9" customFormat="false" ht="23.85" hidden="false" customHeight="false" outlineLevel="0" collapsed="false">
      <c r="A9" s="5" t="s">
        <v>544</v>
      </c>
      <c r="B9" s="5" t="s">
        <v>545</v>
      </c>
      <c r="C9" s="5" t="s">
        <v>546</v>
      </c>
      <c r="D9" s="5" t="s">
        <v>547</v>
      </c>
      <c r="E9" s="5" t="s">
        <v>548</v>
      </c>
      <c r="F9" s="5" t="s">
        <v>549</v>
      </c>
      <c r="G9" s="5" t="s">
        <v>506</v>
      </c>
    </row>
    <row r="10" customFormat="false" ht="23.85" hidden="false" customHeight="false" outlineLevel="0" collapsed="false">
      <c r="A10" s="5" t="s">
        <v>550</v>
      </c>
      <c r="B10" s="5" t="s">
        <v>551</v>
      </c>
      <c r="C10" s="5" t="s">
        <v>552</v>
      </c>
      <c r="D10" s="5" t="s">
        <v>553</v>
      </c>
      <c r="E10" s="5" t="s">
        <v>554</v>
      </c>
      <c r="F10" s="5" t="s">
        <v>555</v>
      </c>
      <c r="G10" s="5" t="s">
        <v>543</v>
      </c>
    </row>
    <row r="11" customFormat="false" ht="15" hidden="false" customHeight="false" outlineLevel="0" collapsed="false">
      <c r="A11" s="5" t="s">
        <v>556</v>
      </c>
      <c r="B11" s="5" t="s">
        <v>557</v>
      </c>
      <c r="C11" s="5" t="s">
        <v>558</v>
      </c>
      <c r="D11" s="5" t="s">
        <v>559</v>
      </c>
      <c r="E11" s="5" t="s">
        <v>560</v>
      </c>
      <c r="F11" s="5" t="s">
        <v>561</v>
      </c>
      <c r="G11" s="5" t="s">
        <v>506</v>
      </c>
    </row>
    <row r="12" customFormat="false" ht="23.85" hidden="false" customHeight="false" outlineLevel="0" collapsed="false">
      <c r="A12" s="5" t="s">
        <v>562</v>
      </c>
      <c r="B12" s="5" t="s">
        <v>563</v>
      </c>
      <c r="C12" s="5" t="s">
        <v>564</v>
      </c>
      <c r="D12" s="5" t="s">
        <v>565</v>
      </c>
      <c r="E12" s="5" t="s">
        <v>566</v>
      </c>
      <c r="F12" s="5" t="s">
        <v>567</v>
      </c>
      <c r="G12" s="5" t="s">
        <v>506</v>
      </c>
    </row>
    <row r="13" customFormat="false" ht="23.85" hidden="false" customHeight="false" outlineLevel="0" collapsed="false">
      <c r="A13" s="5" t="s">
        <v>568</v>
      </c>
      <c r="B13" s="5" t="s">
        <v>407</v>
      </c>
      <c r="C13" s="5" t="s">
        <v>569</v>
      </c>
      <c r="D13" s="5" t="s">
        <v>570</v>
      </c>
      <c r="E13" s="5" t="s">
        <v>571</v>
      </c>
      <c r="F13" s="5" t="s">
        <v>572</v>
      </c>
      <c r="G13" s="5" t="s">
        <v>506</v>
      </c>
    </row>
    <row r="14" customFormat="false" ht="15" hidden="false" customHeight="false" outlineLevel="0" collapsed="false">
      <c r="A14" s="5" t="s">
        <v>573</v>
      </c>
      <c r="B14" s="5" t="s">
        <v>574</v>
      </c>
      <c r="C14" s="5" t="s">
        <v>575</v>
      </c>
      <c r="D14" s="5" t="s">
        <v>576</v>
      </c>
      <c r="E14" s="5" t="s">
        <v>577</v>
      </c>
      <c r="F14" s="5" t="s">
        <v>578</v>
      </c>
      <c r="G14" s="5" t="s">
        <v>506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2026-10-27T19:27:03Z</dcterms:created>
  <dc:creator>openpyxl</dc:creator>
  <dc:description/>
  <dc:language>en-US</dc:language>
  <cp:lastModifiedBy/>
  <dcterms:modified xsi:type="dcterms:W3CDTF">2026-10-27T14:27:05Z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